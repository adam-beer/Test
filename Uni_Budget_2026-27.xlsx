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dget" sheetId="1" state="visible" r:id="rId3"/>
    <sheet name="Weekly Tracker" sheetId="2" state="visible" r:id="rId4"/>
    <sheet name="Tip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Assumption: mid-June 2027. Change this to the day you actually leave.</t>
        </r>
      </text>
    </comment>
    <comment ref="B8" authorId="0">
      <text>
        <r>
          <rPr>
            <sz val="10"/>
            <rFont val="Arial"/>
            <family val="2"/>
          </rPr>
          <t xml:space="preserve">Suggested target: £25/week is about £900 by June. Only reachable with the 'Suggested' plan.</t>
        </r>
      </text>
    </comment>
    <comment ref="B9" authorId="0">
      <text>
        <r>
          <rPr>
            <sz val="10"/>
            <rFont val="Arial"/>
            <family val="2"/>
          </rPr>
          <t xml:space="preserve">Pick 'Suggested' or 'Current'. Sets the weekly limits on the Weekly Tracker tab.</t>
        </r>
      </text>
    </comment>
  </commentList>
</comments>
</file>

<file path=xl/sharedStrings.xml><?xml version="1.0" encoding="utf-8"?>
<sst xmlns="http://schemas.openxmlformats.org/spreadsheetml/2006/main" count="141" uniqueCount="110">
  <si>
    <t xml:space="preserve">Uni of Bath Budget: October 2026 to June 2027</t>
  </si>
  <si>
    <t xml:space="preserve">How to use: blue text = numbers you can change. Yellow = my assumptions, so check them. Black = formulas, don't edit. Green = pulled from another cell or sheet.</t>
  </si>
  <si>
    <t xml:space="preserve">Settings</t>
  </si>
  <si>
    <t xml:space="preserve">Budget start (Monday)</t>
  </si>
  <si>
    <t xml:space="preserve">Budget end (leave for summer)</t>
  </si>
  <si>
    <t xml:space="preserve">Weeks in budget</t>
  </si>
  <si>
    <t xml:space="preserve">Savings target per week (£)</t>
  </si>
  <si>
    <t xml:space="preserve">Tracker limits use plan</t>
  </si>
  <si>
    <t xml:space="preserve">Suggested</t>
  </si>
  <si>
    <t xml:space="preserve">Income</t>
  </si>
  <si>
    <t xml:space="preserve">Source</t>
  </si>
  <si>
    <t xml:space="preserve">Amount (£)</t>
  </si>
  <si>
    <t xml:space="preserve">Frequency</t>
  </si>
  <si>
    <t xml:space="preserve">Weekly (£)</t>
  </si>
  <si>
    <t xml:space="preserve">Period total (£)</t>
  </si>
  <si>
    <t xml:space="preserve">Notes</t>
  </si>
  <si>
    <t xml:space="preserve">SFE maintenance loan</t>
  </si>
  <si>
    <t xml:space="preserve">Per period</t>
  </si>
  <si>
    <t xml:space="preserve">Your figure. Paid in 3 instalments (~£1,667 each: Sep, Jan, Apr).</t>
  </si>
  <si>
    <t xml:space="preserve">Grandparents</t>
  </si>
  <si>
    <t xml:space="preserve">Your figure: £1,000 for the year.</t>
  </si>
  <si>
    <t xml:space="preserve">Dad</t>
  </si>
  <si>
    <t xml:space="preserve">Weekly</t>
  </si>
  <si>
    <t xml:space="preserve">Your figure: £24 a week.</t>
  </si>
  <si>
    <t xml:space="preserve">Total income</t>
  </si>
  <si>
    <t xml:space="preserve">Spending: your current habits vs a suggested plan</t>
  </si>
  <si>
    <t xml:space="preserve">Category</t>
  </si>
  <si>
    <t xml:space="preserve">Current amount (£)</t>
  </si>
  <si>
    <t xml:space="preserve">Current weekly (£)</t>
  </si>
  <si>
    <t xml:space="preserve">Current period total (£)</t>
  </si>
  <si>
    <t xml:space="preserve">Suggested amount (£)</t>
  </si>
  <si>
    <t xml:space="preserve">Suggested weekly (£)</t>
  </si>
  <si>
    <t xml:space="preserve">Suggested period total (£)</t>
  </si>
  <si>
    <t xml:space="preserve">Saving by June (£)</t>
  </si>
  <si>
    <t xml:space="preserve">In weekly tracker?</t>
  </si>
  <si>
    <t xml:space="preserve">How to save</t>
  </si>
  <si>
    <t xml:space="preserve">Groceries</t>
  </si>
  <si>
    <t xml:space="preserve">Yes</t>
  </si>
  <si>
    <t xml:space="preserve">Shop at Aldi/Lidl, meal-prep in batches, write a list, buy own-brand, shop yellow-sticker reductions.</t>
  </si>
  <si>
    <t xml:space="preserve">Laundry</t>
  </si>
  <si>
    <t xml:space="preserve">Wash only full loads and dry on a clothes airer instead of the tumble dryer.</t>
  </si>
  <si>
    <t xml:space="preserve">Coffee (£3 x 7 days)</t>
  </si>
  <si>
    <t xml:space="preserve">Have 3 bought coffees a week and make the rest at home or in halls. Bring a reusable cup for discounts.</t>
  </si>
  <si>
    <t xml:space="preserve">Nights out (2 x £20)</t>
  </si>
  <si>
    <t xml:space="preserve">Pre-drinks at home, take a set amount of cash, check student-night deals, walk home or share taxis.</t>
  </si>
  <si>
    <t xml:space="preserve">Takeaway (1 a week)</t>
  </si>
  <si>
    <t xml:space="preserve">ASSUMPTION: £15 per takeaway. Collect instead of delivery, use student discounts, or make a 'fakeaway'.</t>
  </si>
  <si>
    <t xml:space="preserve">Transport</t>
  </si>
  <si>
    <t xml:space="preserve">Your range of £10–15, so I used the middle. Look at First Bus student tickets/passes and walk when you can.</t>
  </si>
  <si>
    <t xml:space="preserve">Toiletries &amp; misc</t>
  </si>
  <si>
    <t xml:space="preserve">ASSUMPTION: you didn't list this. Covers toiletries, printing and small stationery.</t>
  </si>
  <si>
    <t xml:space="preserve">Google + Apple subscriptions</t>
  </si>
  <si>
    <t xml:space="preserve">Monthly</t>
  </si>
  <si>
    <t xml:space="preserve">No</t>
  </si>
  <si>
    <t xml:space="preserve">Your figure. Check student plans and cancel anything you haven't used in a month.</t>
  </si>
  <si>
    <t xml:space="preserve">Gym membership</t>
  </si>
  <si>
    <t xml:space="preserve">Your figure: £400 for the year. If already paid, set to 0 and lower the SFE figure by what's already gone.</t>
  </si>
  <si>
    <t xml:space="preserve">One-offs (Christmas gifts, books, haircuts, clothes)</t>
  </si>
  <si>
    <t xml:space="preserve">ASSUMPTION: £150 buffer for the year. Change it if you know your plans.</t>
  </si>
  <si>
    <t xml:space="preserve">Total spending</t>
  </si>
  <si>
    <t xml:space="preserve">Summary</t>
  </si>
  <si>
    <t xml:space="preserve">Current habits</t>
  </si>
  <si>
    <t xml:space="preserve">Suggested plan</t>
  </si>
  <si>
    <t xml:space="preserve">Income per week</t>
  </si>
  <si>
    <t xml:space="preserve">Spending per week</t>
  </si>
  <si>
    <t xml:space="preserve">Left over per week</t>
  </si>
  <si>
    <t xml:space="preserve">Savings target per week</t>
  </si>
  <si>
    <t xml:space="preserve">Spare after savings per week</t>
  </si>
  <si>
    <t xml:space="preserve">Left over by June</t>
  </si>
  <si>
    <t xml:space="preserve">Projected savings by June</t>
  </si>
  <si>
    <t xml:space="preserve">Status</t>
  </si>
  <si>
    <t xml:space="preserve">Weekly Spending Tracker</t>
  </si>
  <si>
    <t xml:space="preserve">Each Sunday, type what you actually spent in the blue cells. A cell turns red when it goes over that category's limit. Fixed costs (subscriptions, gym, one-offs) are left out because they're already budgeted.</t>
  </si>
  <si>
    <t xml:space="preserve">Weekly limits</t>
  </si>
  <si>
    <t xml:space="preserve">Coffee</t>
  </si>
  <si>
    <t xml:space="preserve">Nights out</t>
  </si>
  <si>
    <t xml:space="preserve">Takeaway</t>
  </si>
  <si>
    <t xml:space="preserve">Total</t>
  </si>
  <si>
    <t xml:space="preserve">Example</t>
  </si>
  <si>
    <t xml:space="preserve">(how a week looks)</t>
  </si>
  <si>
    <t xml:space="preserve">Week</t>
  </si>
  <si>
    <t xml:space="preserve">Week starting</t>
  </si>
  <si>
    <t xml:space="preserve">Total spent</t>
  </si>
  <si>
    <t xml:space="preserve">Weekly limit</t>
  </si>
  <si>
    <t xml:space="preserve">Under / (over)</t>
  </si>
  <si>
    <t xml:space="preserve">Running total saved</t>
  </si>
  <si>
    <t xml:space="preserve">Avg / week</t>
  </si>
  <si>
    <t xml:space="preserve">Where to spend less, and tips for sticking to it</t>
  </si>
  <si>
    <t xml:space="preserve">THE BIG PICTURE</t>
  </si>
  <si>
    <t xml:space="preserve">Your current habits use almost all of your income. Your lifestyle is affordable, but there's almost nothing spare for emergencies or savings. The Summary on the Budget tab shows the exact figures.</t>
  </si>
  <si>
    <t xml:space="preserve">The Suggested plan frees up about £45 a week (about £1,600 by June) without cutting anything completely.</t>
  </si>
  <si>
    <t xml:space="preserve">BIGGEST WINS (ranked by money saved)</t>
  </si>
  <si>
    <t xml:space="preserve">1. Groceries (£70 → £55): this is your biggest cost. Aldi and Lidl are usually much cheaper than Sainsbury's or Waitrose, and Bath has both. Batch-cook 2–3 meals on Sunday, plan meals before you shop and use own-brand. Saves about £540 by June.</t>
  </si>
  <si>
    <t xml:space="preserve">2. Coffee (£21 → £9): £3 a day adds up to about £750 by June. A cafetière and a bag of decent coffee costs about £15 and lasts weeks. Keep bought coffee as a treat on 3 days. Saves about £430.</t>
  </si>
  <si>
    <t xml:space="preserve">3. Nights out (£40 → £30): do pre-drinks, take a set amount of cash and leave your card at home, and look for SU or student-night deals. Saves about £360.</t>
  </si>
  <si>
    <t xml:space="preserve">4. Takeaway (£15 → £10): collect instead of delivery (no fees), use student discount apps, or swap every other takeaway for a 'fakeaway' night. Saves about £180.</t>
  </si>
  <si>
    <t xml:space="preserve">5. Laundry (£10 → £7): wash full loads only and skip the dryer by using a clothes airer (about £15). Saves about £110.</t>
  </si>
  <si>
    <t xml:space="preserve">HABITS THAT MAKE A BUDGET STICK</t>
  </si>
  <si>
    <t xml:space="preserve">• Pay yourself first. When money comes in (each SFE instalment, the grandparents' money), move your savings target into a separate savings pot straight away.</t>
  </si>
  <si>
    <t xml:space="preserve">• Use a 'spending pot'. Many banking apps (Monzo, Starling, etc.) let you set up pots. Move your weekly limit into a spending pot every Monday and spend only from that.</t>
  </si>
  <si>
    <t xml:space="preserve">• Take 5 minutes every Sunday to fill in the Weekly Tracker. Red cells show where the money is going.</t>
  </si>
  <si>
    <t xml:space="preserve">• Spread out big payments. Your SFE comes in 3 lumps, so don't treat payday week as 'rich week'. The weekly figure on the Budget tab is what you can really spend.</t>
  </si>
  <si>
    <t xml:space="preserve">• Plan for January. The first instalment has to last until the second, and Christmas is in between. Keep an eye on the running total in the Tracker.</t>
  </si>
  <si>
    <t xml:space="preserve">• Use student discounts: UNiDAYS, Student Beans and TOTUM, and always ask in shops and cafés.</t>
  </si>
  <si>
    <t xml:space="preserve">• Check your subscriptions. Many have student or family plans, or can be shared.</t>
  </si>
  <si>
    <t xml:space="preserve">• Get the most from your £400 gym membership. If you go about 3 times a week it's under £3 a visit.</t>
  </si>
  <si>
    <t xml:space="preserve">SAFETY NET</t>
  </si>
  <si>
    <t xml:space="preserve">• Aim to keep a £200–£300 emergency buffer that you don't touch, for things like a broken phone or an unexpected trip home.</t>
  </si>
  <si>
    <t xml:space="preserve">• If money gets tight, the University of Bath Student Money Advice team and the SU Advice service can help, including with hardship funds. Talk to them early, not when you're already in trouble.</t>
  </si>
  <si>
    <t xml:space="preserve">• Avoid buy-now-pay-later and overdraft creep. A student bank account's interest-free overdraft is a safety net, not income.</t>
  </si>
</sst>
</file>

<file path=xl/styles.xml><?xml version="1.0" encoding="utf-8"?>
<styleSheet xmlns="http://schemas.openxmlformats.org/spreadsheetml/2006/main">
  <numFmts count="5">
    <numFmt numFmtId="164" formatCode="General"/>
    <numFmt numFmtId="165" formatCode="dd\ mmm\ yyyy"/>
    <numFmt numFmtId="166" formatCode="0"/>
    <numFmt numFmtId="167" formatCode="\£#,##0.00;[RED]&quot;(£&quot;#,##0.00\);\-"/>
    <numFmt numFmtId="168" formatCode="ddd\ dd\ mmm\ yy"/>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595959"/>
      <name val="Arial"/>
      <family val="0"/>
      <charset val="1"/>
    </font>
    <font>
      <b val="true"/>
      <sz val="12"/>
      <name val="Arial"/>
      <family val="0"/>
      <charset val="1"/>
    </font>
    <font>
      <b val="true"/>
      <sz val="11"/>
      <name val="Arial"/>
      <family val="0"/>
      <charset val="1"/>
    </font>
    <font>
      <sz val="11"/>
      <color rgb="FF0000FF"/>
      <name val="Arial"/>
      <family val="0"/>
      <charset val="1"/>
    </font>
    <font>
      <sz val="11"/>
      <name val="Arial"/>
      <family val="0"/>
      <charset val="1"/>
    </font>
    <font>
      <b val="true"/>
      <sz val="11"/>
      <color rgb="FFFFFFFF"/>
      <name val="Arial"/>
      <family val="0"/>
      <charset val="1"/>
    </font>
    <font>
      <sz val="11"/>
      <color rgb="FF595959"/>
      <name val="Arial"/>
      <family val="0"/>
      <charset val="1"/>
    </font>
    <font>
      <sz val="11"/>
      <color rgb="FF008000"/>
      <name val="Arial"/>
      <family val="0"/>
      <charset val="1"/>
    </font>
    <font>
      <sz val="10"/>
      <name val="Arial"/>
      <family val="2"/>
    </font>
    <font>
      <i val="true"/>
      <sz val="11"/>
      <color rgb="FF808080"/>
      <name val="Arial"/>
      <family val="0"/>
      <charset val="1"/>
    </font>
    <font>
      <b val="true"/>
      <sz val="12"/>
      <color rgb="FF1F4E78"/>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DDEBF7"/>
        <bgColor rgb="FFF2F2F2"/>
      </patternFill>
    </fill>
    <fill>
      <patternFill patternType="solid">
        <fgColor rgb="FFF2F2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7" fontId="14"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3"/>
    <col collapsed="false" customWidth="true" hidden="false" outlineLevel="0" max="4" min="4" style="0" width="14"/>
    <col collapsed="false" customWidth="true" hidden="false" outlineLevel="0" max="5" min="5" style="0" width="16"/>
    <col collapsed="false" customWidth="true" hidden="false" outlineLevel="0" max="7" min="6" style="0" width="15"/>
    <col collapsed="false" customWidth="true" hidden="false" outlineLevel="0" max="8" min="8" style="0" width="16"/>
    <col collapsed="false" customWidth="true" hidden="false" outlineLevel="0" max="9" min="9" style="0" width="15"/>
    <col collapsed="false" customWidth="true" hidden="false" outlineLevel="0" max="10" min="10" style="0" width="11"/>
    <col collapsed="false" customWidth="true" hidden="false" outlineLevel="0" max="11" min="11" style="0" width="7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v>46300</v>
      </c>
    </row>
    <row r="6" customFormat="false" ht="15" hidden="false" customHeight="false" outlineLevel="0" collapsed="false">
      <c r="A6" s="4" t="s">
        <v>4</v>
      </c>
      <c r="B6" s="6" t="n">
        <v>46551</v>
      </c>
    </row>
    <row r="7" customFormat="false" ht="15" hidden="false" customHeight="false" outlineLevel="0" collapsed="false">
      <c r="A7" s="4" t="s">
        <v>5</v>
      </c>
      <c r="B7" s="7" t="n">
        <f aca="false">ROUND((B6-B5+1)/7,0)</f>
        <v>36</v>
      </c>
    </row>
    <row r="8" customFormat="false" ht="15" hidden="false" customHeight="false" outlineLevel="0" collapsed="false">
      <c r="A8" s="4" t="s">
        <v>6</v>
      </c>
      <c r="B8" s="8" t="n">
        <v>25</v>
      </c>
    </row>
    <row r="9" customFormat="false" ht="15" hidden="false" customHeight="false" outlineLevel="0" collapsed="false">
      <c r="A9" s="4" t="s">
        <v>7</v>
      </c>
      <c r="B9" s="9" t="s">
        <v>8</v>
      </c>
    </row>
    <row r="11" customFormat="false" ht="15" hidden="false" customHeight="false" outlineLevel="0" collapsed="false">
      <c r="A11" s="3" t="s">
        <v>9</v>
      </c>
    </row>
    <row r="12" customFormat="false" ht="15" hidden="false" customHeight="false" outlineLevel="0" collapsed="false">
      <c r="A12" s="10" t="s">
        <v>10</v>
      </c>
      <c r="B12" s="10" t="s">
        <v>11</v>
      </c>
      <c r="C12" s="10" t="s">
        <v>12</v>
      </c>
      <c r="D12" s="10" t="s">
        <v>13</v>
      </c>
      <c r="E12" s="10" t="s">
        <v>14</v>
      </c>
      <c r="F12" s="10" t="s">
        <v>15</v>
      </c>
    </row>
    <row r="13" customFormat="false" ht="15" hidden="false" customHeight="false" outlineLevel="0" collapsed="false">
      <c r="A13" s="11" t="s">
        <v>16</v>
      </c>
      <c r="B13" s="12" t="n">
        <v>5000</v>
      </c>
      <c r="C13" s="9" t="s">
        <v>17</v>
      </c>
      <c r="D13" s="13" t="n">
        <f aca="false">IF($C13="Weekly",B13,IF($C13="Monthly",B13*12/52,B13/$B$7))</f>
        <v>138.888888888889</v>
      </c>
      <c r="E13" s="13" t="n">
        <f aca="false">D13*$B$7</f>
        <v>5000</v>
      </c>
      <c r="F13" s="14" t="s">
        <v>18</v>
      </c>
    </row>
    <row r="14" customFormat="false" ht="15" hidden="false" customHeight="false" outlineLevel="0" collapsed="false">
      <c r="A14" s="11" t="s">
        <v>19</v>
      </c>
      <c r="B14" s="12" t="n">
        <v>1000</v>
      </c>
      <c r="C14" s="9" t="s">
        <v>17</v>
      </c>
      <c r="D14" s="13" t="n">
        <f aca="false">IF($C14="Weekly",B14,IF($C14="Monthly",B14*12/52,B14/$B$7))</f>
        <v>27.7777777777778</v>
      </c>
      <c r="E14" s="13" t="n">
        <f aca="false">D14*$B$7</f>
        <v>1000</v>
      </c>
      <c r="F14" s="14" t="s">
        <v>20</v>
      </c>
    </row>
    <row r="15" customFormat="false" ht="15" hidden="false" customHeight="false" outlineLevel="0" collapsed="false">
      <c r="A15" s="11" t="s">
        <v>21</v>
      </c>
      <c r="B15" s="12" t="n">
        <v>24</v>
      </c>
      <c r="C15" s="9" t="s">
        <v>22</v>
      </c>
      <c r="D15" s="13" t="n">
        <f aca="false">IF($C15="Weekly",B15,IF($C15="Monthly",B15*12/52,B15/$B$7))</f>
        <v>24</v>
      </c>
      <c r="E15" s="13" t="n">
        <f aca="false">D15*$B$7</f>
        <v>864</v>
      </c>
      <c r="F15" s="14" t="s">
        <v>23</v>
      </c>
    </row>
    <row r="16" customFormat="false" ht="15" hidden="false" customHeight="false" outlineLevel="0" collapsed="false">
      <c r="A16" s="15" t="s">
        <v>24</v>
      </c>
      <c r="B16" s="16"/>
      <c r="C16" s="16"/>
      <c r="D16" s="17" t="n">
        <f aca="false">SUM(D13:D15)</f>
        <v>190.666666666667</v>
      </c>
      <c r="E16" s="17" t="n">
        <f aca="false">SUM(E13:E15)</f>
        <v>6864</v>
      </c>
      <c r="F16" s="16"/>
    </row>
    <row r="18" customFormat="false" ht="15" hidden="false" customHeight="false" outlineLevel="0" collapsed="false">
      <c r="A18" s="3" t="s">
        <v>25</v>
      </c>
    </row>
    <row r="19" customFormat="false" ht="45" hidden="false" customHeight="true" outlineLevel="0" collapsed="false">
      <c r="A19" s="10" t="s">
        <v>26</v>
      </c>
      <c r="B19" s="10" t="s">
        <v>27</v>
      </c>
      <c r="C19" s="10" t="s">
        <v>12</v>
      </c>
      <c r="D19" s="10" t="s">
        <v>28</v>
      </c>
      <c r="E19" s="10" t="s">
        <v>29</v>
      </c>
      <c r="F19" s="10" t="s">
        <v>30</v>
      </c>
      <c r="G19" s="10" t="s">
        <v>31</v>
      </c>
      <c r="H19" s="10" t="s">
        <v>32</v>
      </c>
      <c r="I19" s="10" t="s">
        <v>33</v>
      </c>
      <c r="J19" s="10" t="s">
        <v>34</v>
      </c>
      <c r="K19" s="10" t="s">
        <v>35</v>
      </c>
    </row>
    <row r="20" customFormat="false" ht="26.85" hidden="false" customHeight="false" outlineLevel="0" collapsed="false">
      <c r="A20" s="11" t="s">
        <v>36</v>
      </c>
      <c r="B20" s="12" t="n">
        <v>70</v>
      </c>
      <c r="C20" s="9" t="s">
        <v>22</v>
      </c>
      <c r="D20" s="13" t="n">
        <f aca="false">IF($C20="Weekly",B20,IF($C20="Monthly",B20*12/52,B20/$B$7))</f>
        <v>70</v>
      </c>
      <c r="E20" s="13" t="n">
        <f aca="false">D20*$B$7</f>
        <v>2520</v>
      </c>
      <c r="F20" s="12" t="n">
        <v>55</v>
      </c>
      <c r="G20" s="13" t="n">
        <f aca="false">IF($C20="Weekly",F20,IF($C20="Monthly",F20*12/52,F20/$B$7))</f>
        <v>55</v>
      </c>
      <c r="H20" s="13" t="n">
        <f aca="false">G20*$B$7</f>
        <v>1980</v>
      </c>
      <c r="I20" s="13" t="n">
        <f aca="false">E20-H20</f>
        <v>540</v>
      </c>
      <c r="J20" s="11" t="s">
        <v>37</v>
      </c>
      <c r="K20" s="18" t="s">
        <v>38</v>
      </c>
    </row>
    <row r="21" customFormat="false" ht="15" hidden="false" customHeight="false" outlineLevel="0" collapsed="false">
      <c r="A21" s="11" t="s">
        <v>39</v>
      </c>
      <c r="B21" s="12" t="n">
        <v>10</v>
      </c>
      <c r="C21" s="9" t="s">
        <v>22</v>
      </c>
      <c r="D21" s="13" t="n">
        <f aca="false">IF($C21="Weekly",B21,IF($C21="Monthly",B21*12/52,B21/$B$7))</f>
        <v>10</v>
      </c>
      <c r="E21" s="13" t="n">
        <f aca="false">D21*$B$7</f>
        <v>360</v>
      </c>
      <c r="F21" s="12" t="n">
        <v>7</v>
      </c>
      <c r="G21" s="13" t="n">
        <f aca="false">IF($C21="Weekly",F21,IF($C21="Monthly",F21*12/52,F21/$B$7))</f>
        <v>7</v>
      </c>
      <c r="H21" s="13" t="n">
        <f aca="false">G21*$B$7</f>
        <v>252</v>
      </c>
      <c r="I21" s="13" t="n">
        <f aca="false">E21-H21</f>
        <v>108</v>
      </c>
      <c r="J21" s="11" t="s">
        <v>37</v>
      </c>
      <c r="K21" s="18" t="s">
        <v>40</v>
      </c>
    </row>
    <row r="22" customFormat="false" ht="26.85" hidden="false" customHeight="false" outlineLevel="0" collapsed="false">
      <c r="A22" s="11" t="s">
        <v>41</v>
      </c>
      <c r="B22" s="12" t="n">
        <v>21</v>
      </c>
      <c r="C22" s="9" t="s">
        <v>22</v>
      </c>
      <c r="D22" s="13" t="n">
        <f aca="false">IF($C22="Weekly",B22,IF($C22="Monthly",B22*12/52,B22/$B$7))</f>
        <v>21</v>
      </c>
      <c r="E22" s="13" t="n">
        <f aca="false">D22*$B$7</f>
        <v>756</v>
      </c>
      <c r="F22" s="12" t="n">
        <v>9</v>
      </c>
      <c r="G22" s="13" t="n">
        <f aca="false">IF($C22="Weekly",F22,IF($C22="Monthly",F22*12/52,F22/$B$7))</f>
        <v>9</v>
      </c>
      <c r="H22" s="13" t="n">
        <f aca="false">G22*$B$7</f>
        <v>324</v>
      </c>
      <c r="I22" s="13" t="n">
        <f aca="false">E22-H22</f>
        <v>432</v>
      </c>
      <c r="J22" s="11" t="s">
        <v>37</v>
      </c>
      <c r="K22" s="18" t="s">
        <v>42</v>
      </c>
    </row>
    <row r="23" customFormat="false" ht="26.85" hidden="false" customHeight="false" outlineLevel="0" collapsed="false">
      <c r="A23" s="11" t="s">
        <v>43</v>
      </c>
      <c r="B23" s="12" t="n">
        <v>40</v>
      </c>
      <c r="C23" s="9" t="s">
        <v>22</v>
      </c>
      <c r="D23" s="13" t="n">
        <f aca="false">IF($C23="Weekly",B23,IF($C23="Monthly",B23*12/52,B23/$B$7))</f>
        <v>40</v>
      </c>
      <c r="E23" s="13" t="n">
        <f aca="false">D23*$B$7</f>
        <v>1440</v>
      </c>
      <c r="F23" s="12" t="n">
        <v>30</v>
      </c>
      <c r="G23" s="13" t="n">
        <f aca="false">IF($C23="Weekly",F23,IF($C23="Monthly",F23*12/52,F23/$B$7))</f>
        <v>30</v>
      </c>
      <c r="H23" s="13" t="n">
        <f aca="false">G23*$B$7</f>
        <v>1080</v>
      </c>
      <c r="I23" s="13" t="n">
        <f aca="false">E23-H23</f>
        <v>360</v>
      </c>
      <c r="J23" s="11" t="s">
        <v>37</v>
      </c>
      <c r="K23" s="18" t="s">
        <v>44</v>
      </c>
    </row>
    <row r="24" customFormat="false" ht="26.85" hidden="false" customHeight="false" outlineLevel="0" collapsed="false">
      <c r="A24" s="11" t="s">
        <v>45</v>
      </c>
      <c r="B24" s="8" t="n">
        <v>15</v>
      </c>
      <c r="C24" s="9" t="s">
        <v>22</v>
      </c>
      <c r="D24" s="13" t="n">
        <f aca="false">IF($C24="Weekly",B24,IF($C24="Monthly",B24*12/52,B24/$B$7))</f>
        <v>15</v>
      </c>
      <c r="E24" s="13" t="n">
        <f aca="false">D24*$B$7</f>
        <v>540</v>
      </c>
      <c r="F24" s="8" t="n">
        <v>10</v>
      </c>
      <c r="G24" s="13" t="n">
        <f aca="false">IF($C24="Weekly",F24,IF($C24="Monthly",F24*12/52,F24/$B$7))</f>
        <v>10</v>
      </c>
      <c r="H24" s="13" t="n">
        <f aca="false">G24*$B$7</f>
        <v>360</v>
      </c>
      <c r="I24" s="13" t="n">
        <f aca="false">E24-H24</f>
        <v>180</v>
      </c>
      <c r="J24" s="11" t="s">
        <v>37</v>
      </c>
      <c r="K24" s="18" t="s">
        <v>46</v>
      </c>
    </row>
    <row r="25" customFormat="false" ht="26.85" hidden="false" customHeight="false" outlineLevel="0" collapsed="false">
      <c r="A25" s="11" t="s">
        <v>47</v>
      </c>
      <c r="B25" s="12" t="n">
        <v>12.5</v>
      </c>
      <c r="C25" s="9" t="s">
        <v>22</v>
      </c>
      <c r="D25" s="13" t="n">
        <f aca="false">IF($C25="Weekly",B25,IF($C25="Monthly",B25*12/52,B25/$B$7))</f>
        <v>12.5</v>
      </c>
      <c r="E25" s="13" t="n">
        <f aca="false">D25*$B$7</f>
        <v>450</v>
      </c>
      <c r="F25" s="12" t="n">
        <v>12.5</v>
      </c>
      <c r="G25" s="13" t="n">
        <f aca="false">IF($C25="Weekly",F25,IF($C25="Monthly",F25*12/52,F25/$B$7))</f>
        <v>12.5</v>
      </c>
      <c r="H25" s="13" t="n">
        <f aca="false">G25*$B$7</f>
        <v>450</v>
      </c>
      <c r="I25" s="13" t="n">
        <f aca="false">E25-H25</f>
        <v>0</v>
      </c>
      <c r="J25" s="11" t="s">
        <v>37</v>
      </c>
      <c r="K25" s="18" t="s">
        <v>48</v>
      </c>
    </row>
    <row r="26" customFormat="false" ht="15" hidden="false" customHeight="false" outlineLevel="0" collapsed="false">
      <c r="A26" s="11" t="s">
        <v>49</v>
      </c>
      <c r="B26" s="8" t="n">
        <v>5</v>
      </c>
      <c r="C26" s="9" t="s">
        <v>22</v>
      </c>
      <c r="D26" s="13" t="n">
        <f aca="false">IF($C26="Weekly",B26,IF($C26="Monthly",B26*12/52,B26/$B$7))</f>
        <v>5</v>
      </c>
      <c r="E26" s="13" t="n">
        <f aca="false">D26*$B$7</f>
        <v>180</v>
      </c>
      <c r="F26" s="8" t="n">
        <v>5</v>
      </c>
      <c r="G26" s="13" t="n">
        <f aca="false">IF($C26="Weekly",F26,IF($C26="Monthly",F26*12/52,F26/$B$7))</f>
        <v>5</v>
      </c>
      <c r="H26" s="13" t="n">
        <f aca="false">G26*$B$7</f>
        <v>180</v>
      </c>
      <c r="I26" s="13" t="n">
        <f aca="false">E26-H26</f>
        <v>0</v>
      </c>
      <c r="J26" s="11" t="s">
        <v>37</v>
      </c>
      <c r="K26" s="18" t="s">
        <v>50</v>
      </c>
    </row>
    <row r="27" customFormat="false" ht="15" hidden="false" customHeight="false" outlineLevel="0" collapsed="false">
      <c r="A27" s="11" t="s">
        <v>51</v>
      </c>
      <c r="B27" s="12" t="n">
        <v>6</v>
      </c>
      <c r="C27" s="9" t="s">
        <v>52</v>
      </c>
      <c r="D27" s="13" t="n">
        <f aca="false">IF($C27="Weekly",B27,IF($C27="Monthly",B27*12/52,B27/$B$7))</f>
        <v>1.38461538461538</v>
      </c>
      <c r="E27" s="13" t="n">
        <f aca="false">D27*$B$7</f>
        <v>49.8461538461539</v>
      </c>
      <c r="F27" s="12" t="n">
        <v>6</v>
      </c>
      <c r="G27" s="13" t="n">
        <f aca="false">IF($C27="Weekly",F27,IF($C27="Monthly",F27*12/52,F27/$B$7))</f>
        <v>1.38461538461538</v>
      </c>
      <c r="H27" s="13" t="n">
        <f aca="false">G27*$B$7</f>
        <v>49.8461538461539</v>
      </c>
      <c r="I27" s="13" t="n">
        <f aca="false">E27-H27</f>
        <v>0</v>
      </c>
      <c r="J27" s="11" t="s">
        <v>53</v>
      </c>
      <c r="K27" s="18" t="s">
        <v>54</v>
      </c>
    </row>
    <row r="28" customFormat="false" ht="26.85" hidden="false" customHeight="false" outlineLevel="0" collapsed="false">
      <c r="A28" s="11" t="s">
        <v>55</v>
      </c>
      <c r="B28" s="12" t="n">
        <v>400</v>
      </c>
      <c r="C28" s="9" t="s">
        <v>17</v>
      </c>
      <c r="D28" s="13" t="n">
        <f aca="false">IF($C28="Weekly",B28,IF($C28="Monthly",B28*12/52,B28/$B$7))</f>
        <v>11.1111111111111</v>
      </c>
      <c r="E28" s="13" t="n">
        <f aca="false">D28*$B$7</f>
        <v>400</v>
      </c>
      <c r="F28" s="12" t="n">
        <v>400</v>
      </c>
      <c r="G28" s="13" t="n">
        <f aca="false">IF($C28="Weekly",F28,IF($C28="Monthly",F28*12/52,F28/$B$7))</f>
        <v>11.1111111111111</v>
      </c>
      <c r="H28" s="13" t="n">
        <f aca="false">G28*$B$7</f>
        <v>400</v>
      </c>
      <c r="I28" s="13" t="n">
        <f aca="false">E28-H28</f>
        <v>0</v>
      </c>
      <c r="J28" s="11" t="s">
        <v>53</v>
      </c>
      <c r="K28" s="18" t="s">
        <v>56</v>
      </c>
    </row>
    <row r="29" customFormat="false" ht="15" hidden="false" customHeight="false" outlineLevel="0" collapsed="false">
      <c r="A29" s="11" t="s">
        <v>57</v>
      </c>
      <c r="B29" s="8" t="n">
        <v>150</v>
      </c>
      <c r="C29" s="9" t="s">
        <v>17</v>
      </c>
      <c r="D29" s="13" t="n">
        <f aca="false">IF($C29="Weekly",B29,IF($C29="Monthly",B29*12/52,B29/$B$7))</f>
        <v>4.16666666666667</v>
      </c>
      <c r="E29" s="13" t="n">
        <f aca="false">D29*$B$7</f>
        <v>150</v>
      </c>
      <c r="F29" s="8" t="n">
        <v>150</v>
      </c>
      <c r="G29" s="13" t="n">
        <f aca="false">IF($C29="Weekly",F29,IF($C29="Monthly",F29*12/52,F29/$B$7))</f>
        <v>4.16666666666667</v>
      </c>
      <c r="H29" s="13" t="n">
        <f aca="false">G29*$B$7</f>
        <v>150</v>
      </c>
      <c r="I29" s="13" t="n">
        <f aca="false">E29-H29</f>
        <v>0</v>
      </c>
      <c r="J29" s="11" t="s">
        <v>53</v>
      </c>
      <c r="K29" s="18" t="s">
        <v>58</v>
      </c>
    </row>
    <row r="30" customFormat="false" ht="15" hidden="false" customHeight="false" outlineLevel="0" collapsed="false">
      <c r="A30" s="15" t="s">
        <v>59</v>
      </c>
      <c r="B30" s="16"/>
      <c r="C30" s="16"/>
      <c r="D30" s="17" t="n">
        <f aca="false">SUM(D20:D29)</f>
        <v>190.162393162393</v>
      </c>
      <c r="E30" s="17" t="n">
        <f aca="false">SUM(E20:E29)</f>
        <v>6845.84615384615</v>
      </c>
      <c r="F30" s="16"/>
      <c r="G30" s="17" t="n">
        <f aca="false">SUM(G20:G29)</f>
        <v>145.162393162393</v>
      </c>
      <c r="H30" s="17" t="n">
        <f aca="false">SUM(H20:H29)</f>
        <v>5225.84615384615</v>
      </c>
      <c r="I30" s="17" t="n">
        <f aca="false">SUM(I20:I29)</f>
        <v>1620</v>
      </c>
      <c r="J30" s="16"/>
      <c r="K30" s="16"/>
    </row>
    <row r="32" customFormat="false" ht="15" hidden="false" customHeight="false" outlineLevel="0" collapsed="false">
      <c r="A32" s="3" t="s">
        <v>60</v>
      </c>
    </row>
    <row r="33" customFormat="false" ht="15" hidden="false" customHeight="false" outlineLevel="0" collapsed="false">
      <c r="A33" s="10"/>
      <c r="B33" s="10" t="s">
        <v>61</v>
      </c>
      <c r="C33" s="10" t="s">
        <v>62</v>
      </c>
    </row>
    <row r="34" customFormat="false" ht="15" hidden="false" customHeight="false" outlineLevel="0" collapsed="false">
      <c r="A34" s="4" t="s">
        <v>63</v>
      </c>
      <c r="B34" s="19" t="n">
        <f aca="false">$D$16</f>
        <v>190.666666666667</v>
      </c>
      <c r="C34" s="19" t="n">
        <f aca="false">$D$16</f>
        <v>190.666666666667</v>
      </c>
    </row>
    <row r="35" customFormat="false" ht="15" hidden="false" customHeight="false" outlineLevel="0" collapsed="false">
      <c r="A35" s="4" t="s">
        <v>64</v>
      </c>
      <c r="B35" s="13" t="n">
        <f aca="false">D30</f>
        <v>190.162393162393</v>
      </c>
      <c r="C35" s="13" t="n">
        <f aca="false">G30</f>
        <v>145.162393162393</v>
      </c>
    </row>
    <row r="36" customFormat="false" ht="15" hidden="false" customHeight="false" outlineLevel="0" collapsed="false">
      <c r="A36" s="4" t="s">
        <v>65</v>
      </c>
      <c r="B36" s="13" t="n">
        <f aca="false">B34-B35</f>
        <v>0.504273504273499</v>
      </c>
      <c r="C36" s="13" t="n">
        <f aca="false">C34-C35</f>
        <v>45.5042735042735</v>
      </c>
    </row>
    <row r="37" customFormat="false" ht="15" hidden="false" customHeight="false" outlineLevel="0" collapsed="false">
      <c r="A37" s="4" t="s">
        <v>66</v>
      </c>
      <c r="B37" s="19" t="n">
        <f aca="false">$B$8</f>
        <v>25</v>
      </c>
      <c r="C37" s="19" t="n">
        <f aca="false">$B$8</f>
        <v>25</v>
      </c>
    </row>
    <row r="38" customFormat="false" ht="15" hidden="false" customHeight="false" outlineLevel="0" collapsed="false">
      <c r="A38" s="4" t="s">
        <v>67</v>
      </c>
      <c r="B38" s="13" t="n">
        <f aca="false">B36-B37</f>
        <v>-24.4957264957265</v>
      </c>
      <c r="C38" s="13" t="n">
        <f aca="false">C36-C37</f>
        <v>20.5042735042735</v>
      </c>
    </row>
    <row r="39" customFormat="false" ht="15" hidden="false" customHeight="false" outlineLevel="0" collapsed="false">
      <c r="A39" s="4" t="s">
        <v>68</v>
      </c>
      <c r="B39" s="13" t="n">
        <f aca="false">B36*$B$7</f>
        <v>18.153846153846</v>
      </c>
      <c r="C39" s="13" t="n">
        <f aca="false">C36*$B$7</f>
        <v>1638.15384615385</v>
      </c>
    </row>
    <row r="40" customFormat="false" ht="15" hidden="false" customHeight="false" outlineLevel="0" collapsed="false">
      <c r="A40" s="4" t="s">
        <v>69</v>
      </c>
      <c r="B40" s="13" t="n">
        <f aca="false">MAX(0,MIN(B36,$B$8))*$B$7</f>
        <v>18.153846153846</v>
      </c>
      <c r="C40" s="13" t="n">
        <f aca="false">MAX(0,MIN(C36,$B$8))*$B$7</f>
        <v>900</v>
      </c>
    </row>
    <row r="41" customFormat="false" ht="15" hidden="false" customHeight="false" outlineLevel="0" collapsed="false">
      <c r="A41" s="4" t="s">
        <v>70</v>
      </c>
      <c r="B41" s="4" t="str">
        <f aca="false">IF(B38&gt;=0,"On track",IF(B36&gt;=0,"Can't hit savings target","Overspending"))</f>
        <v>Can't hit savings target</v>
      </c>
      <c r="C41" s="4" t="str">
        <f aca="false">IF(C38&gt;=0,"On track",IF(C36&gt;=0,"Can't hit savings target","Overspending"))</f>
        <v>On track</v>
      </c>
    </row>
  </sheetData>
  <conditionalFormatting sqref="B41:C41">
    <cfRule type="cellIs" priority="2" operator="equal" aboveAverage="0" equalAverage="0" bottom="0" percent="0" rank="0" text="" dxfId="0">
      <formula>"On track"</formula>
    </cfRule>
    <cfRule type="cellIs" priority="3" operator="notEqual" aboveAverage="0" equalAverage="0" bottom="0" percent="0" rank="0" text="" dxfId="1">
      <formula>"On track"</formula>
    </cfRule>
  </conditionalFormatting>
  <conditionalFormatting sqref="B36:C38">
    <cfRule type="cellIs" priority="4" operator="lessThan" aboveAverage="0" equalAverage="0" bottom="0" percent="0" rank="0" text="" dxfId="1">
      <formula>0</formula>
    </cfRule>
  </conditionalFormatting>
  <dataValidations count="2">
    <dataValidation allowBlank="false" errorStyle="stop" operator="between" showDropDown="false" showErrorMessage="false" showInputMessage="false" sqref="B9" type="list">
      <formula1>"Suggested,Current"</formula1>
      <formula2>0</formula2>
    </dataValidation>
    <dataValidation allowBlank="false" errorStyle="stop" operator="between" showDropDown="false" showErrorMessage="false" showInputMessage="false" sqref="C13:C15 C20:C29" type="list">
      <formula1>"Weekly,Monthly,Per period"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13" min="3" style="0" width="14"/>
  </cols>
  <sheetData>
    <row r="1" customFormat="false" ht="19.7" hidden="false" customHeight="false" outlineLevel="0" collapsed="false">
      <c r="A1" s="1" t="s">
        <v>71</v>
      </c>
    </row>
    <row r="2" customFormat="false" ht="15" hidden="false" customHeight="false" outlineLevel="0" collapsed="false">
      <c r="A2" s="2" t="s">
        <v>72</v>
      </c>
    </row>
    <row r="4" customFormat="false" ht="31.5" hidden="false" customHeight="true" outlineLevel="0" collapsed="false">
      <c r="A4" s="10"/>
      <c r="B4" s="10" t="s">
        <v>73</v>
      </c>
      <c r="C4" s="10" t="s">
        <v>36</v>
      </c>
      <c r="D4" s="10" t="s">
        <v>39</v>
      </c>
      <c r="E4" s="10" t="s">
        <v>74</v>
      </c>
      <c r="F4" s="10" t="s">
        <v>75</v>
      </c>
      <c r="G4" s="10" t="s">
        <v>76</v>
      </c>
      <c r="H4" s="10" t="s">
        <v>47</v>
      </c>
      <c r="I4" s="10" t="s">
        <v>49</v>
      </c>
      <c r="J4" s="10" t="s">
        <v>77</v>
      </c>
      <c r="K4" s="10"/>
      <c r="L4" s="10"/>
      <c r="M4" s="10"/>
    </row>
    <row r="5" customFormat="false" ht="15" hidden="false" customHeight="false" outlineLevel="0" collapsed="false">
      <c r="B5" s="20" t="str">
        <f aca="false">"Plan: "&amp;Budget!$B$9</f>
        <v>Plan: Suggested</v>
      </c>
      <c r="C5" s="19" t="n">
        <f aca="false">IF(Budget!$B$9="Current",Budget!$D$20,Budget!$G$20)</f>
        <v>55</v>
      </c>
      <c r="D5" s="19" t="n">
        <f aca="false">IF(Budget!$B$9="Current",Budget!$D$21,Budget!$G$21)</f>
        <v>7</v>
      </c>
      <c r="E5" s="19" t="n">
        <f aca="false">IF(Budget!$B$9="Current",Budget!$D$22,Budget!$G$22)</f>
        <v>9</v>
      </c>
      <c r="F5" s="19" t="n">
        <f aca="false">IF(Budget!$B$9="Current",Budget!$D$23,Budget!$G$23)</f>
        <v>30</v>
      </c>
      <c r="G5" s="19" t="n">
        <f aca="false">IF(Budget!$B$9="Current",Budget!$D$24,Budget!$G$24)</f>
        <v>10</v>
      </c>
      <c r="H5" s="19" t="n">
        <f aca="false">IF(Budget!$B$9="Current",Budget!$D$25,Budget!$G$25)</f>
        <v>12.5</v>
      </c>
      <c r="I5" s="19" t="n">
        <f aca="false">IF(Budget!$B$9="Current",Budget!$D$26,Budget!$G$26)</f>
        <v>5</v>
      </c>
      <c r="J5" s="21" t="n">
        <f aca="false">SUM(C5:I5)</f>
        <v>128.5</v>
      </c>
    </row>
    <row r="7" customFormat="false" ht="15" hidden="false" customHeight="false" outlineLevel="0" collapsed="false">
      <c r="A7" s="22" t="s">
        <v>78</v>
      </c>
      <c r="B7" s="22" t="s">
        <v>79</v>
      </c>
      <c r="C7" s="23" t="n">
        <v>52.3</v>
      </c>
      <c r="D7" s="23" t="n">
        <v>7</v>
      </c>
      <c r="E7" s="23" t="n">
        <v>12</v>
      </c>
      <c r="F7" s="23" t="n">
        <v>35</v>
      </c>
      <c r="G7" s="23" t="n">
        <v>9.5</v>
      </c>
      <c r="H7" s="23" t="n">
        <v>11</v>
      </c>
      <c r="I7" s="23" t="n">
        <v>3.2</v>
      </c>
      <c r="J7" s="23" t="n">
        <f aca="false">SUM(C7:I7)</f>
        <v>130</v>
      </c>
      <c r="K7" s="23" t="n">
        <f aca="false">$J$5</f>
        <v>128.5</v>
      </c>
      <c r="L7" s="23" t="n">
        <f aca="false">K7-J7</f>
        <v>-1.5</v>
      </c>
      <c r="M7" s="24"/>
    </row>
    <row r="9" customFormat="false" ht="31.5" hidden="false" customHeight="true" outlineLevel="0" collapsed="false">
      <c r="A9" s="10" t="s">
        <v>80</v>
      </c>
      <c r="B9" s="10" t="s">
        <v>81</v>
      </c>
      <c r="C9" s="10" t="s">
        <v>36</v>
      </c>
      <c r="D9" s="10" t="s">
        <v>39</v>
      </c>
      <c r="E9" s="10" t="s">
        <v>74</v>
      </c>
      <c r="F9" s="10" t="s">
        <v>75</v>
      </c>
      <c r="G9" s="10" t="s">
        <v>76</v>
      </c>
      <c r="H9" s="10" t="s">
        <v>47</v>
      </c>
      <c r="I9" s="10" t="s">
        <v>49</v>
      </c>
      <c r="J9" s="10" t="s">
        <v>82</v>
      </c>
      <c r="K9" s="10" t="s">
        <v>83</v>
      </c>
      <c r="L9" s="10" t="s">
        <v>84</v>
      </c>
      <c r="M9" s="10" t="s">
        <v>85</v>
      </c>
    </row>
    <row r="10" customFormat="false" ht="15" hidden="false" customHeight="false" outlineLevel="0" collapsed="false">
      <c r="A10" s="11" t="n">
        <v>1</v>
      </c>
      <c r="B10" s="25" t="n">
        <f aca="false">IF(A10&gt;Budget!$B$7,"",Budget!$B$5+(A10-1)*7)</f>
        <v>46300</v>
      </c>
      <c r="C10" s="12"/>
      <c r="D10" s="12"/>
      <c r="E10" s="12"/>
      <c r="F10" s="12"/>
      <c r="G10" s="12"/>
      <c r="H10" s="12"/>
      <c r="I10" s="12"/>
      <c r="J10" s="13" t="str">
        <f aca="false">IF(COUNT(C10:I10)=0,"",SUM(C10:I10))</f>
        <v/>
      </c>
      <c r="K10" s="13" t="n">
        <f aca="false">IF(B10="","",$J$5)</f>
        <v>128.5</v>
      </c>
      <c r="L10" s="13" t="str">
        <f aca="false">IF(J10="","",K10-J10)</f>
        <v/>
      </c>
      <c r="M10" s="13" t="str">
        <f aca="false">IF(L10="","",SUM($L$10:L10))</f>
        <v/>
      </c>
    </row>
    <row r="11" customFormat="false" ht="15" hidden="false" customHeight="false" outlineLevel="0" collapsed="false">
      <c r="A11" s="11" t="n">
        <v>2</v>
      </c>
      <c r="B11" s="25" t="n">
        <f aca="false">IF(A11&gt;Budget!$B$7,"",Budget!$B$5+(A11-1)*7)</f>
        <v>46307</v>
      </c>
      <c r="C11" s="12"/>
      <c r="D11" s="12"/>
      <c r="E11" s="12"/>
      <c r="F11" s="12"/>
      <c r="G11" s="12"/>
      <c r="H11" s="12"/>
      <c r="I11" s="12"/>
      <c r="J11" s="13" t="str">
        <f aca="false">IF(COUNT(C11:I11)=0,"",SUM(C11:I11))</f>
        <v/>
      </c>
      <c r="K11" s="13" t="n">
        <f aca="false">IF(B11="","",$J$5)</f>
        <v>128.5</v>
      </c>
      <c r="L11" s="13" t="str">
        <f aca="false">IF(J11="","",K11-J11)</f>
        <v/>
      </c>
      <c r="M11" s="13" t="str">
        <f aca="false">IF(L11="","",SUM($L$10:L11))</f>
        <v/>
      </c>
    </row>
    <row r="12" customFormat="false" ht="15" hidden="false" customHeight="false" outlineLevel="0" collapsed="false">
      <c r="A12" s="11" t="n">
        <v>3</v>
      </c>
      <c r="B12" s="25" t="n">
        <f aca="false">IF(A12&gt;Budget!$B$7,"",Budget!$B$5+(A12-1)*7)</f>
        <v>46314</v>
      </c>
      <c r="C12" s="12"/>
      <c r="D12" s="12"/>
      <c r="E12" s="12"/>
      <c r="F12" s="12"/>
      <c r="G12" s="12"/>
      <c r="H12" s="12"/>
      <c r="I12" s="12"/>
      <c r="J12" s="13" t="str">
        <f aca="false">IF(COUNT(C12:I12)=0,"",SUM(C12:I12))</f>
        <v/>
      </c>
      <c r="K12" s="13" t="n">
        <f aca="false">IF(B12="","",$J$5)</f>
        <v>128.5</v>
      </c>
      <c r="L12" s="13" t="str">
        <f aca="false">IF(J12="","",K12-J12)</f>
        <v/>
      </c>
      <c r="M12" s="13" t="str">
        <f aca="false">IF(L12="","",SUM($L$10:L12))</f>
        <v/>
      </c>
    </row>
    <row r="13" customFormat="false" ht="15" hidden="false" customHeight="false" outlineLevel="0" collapsed="false">
      <c r="A13" s="11" t="n">
        <v>4</v>
      </c>
      <c r="B13" s="25" t="n">
        <f aca="false">IF(A13&gt;Budget!$B$7,"",Budget!$B$5+(A13-1)*7)</f>
        <v>46321</v>
      </c>
      <c r="C13" s="12"/>
      <c r="D13" s="12"/>
      <c r="E13" s="12"/>
      <c r="F13" s="12"/>
      <c r="G13" s="12"/>
      <c r="H13" s="12"/>
      <c r="I13" s="12"/>
      <c r="J13" s="13" t="str">
        <f aca="false">IF(COUNT(C13:I13)=0,"",SUM(C13:I13))</f>
        <v/>
      </c>
      <c r="K13" s="13" t="n">
        <f aca="false">IF(B13="","",$J$5)</f>
        <v>128.5</v>
      </c>
      <c r="L13" s="13" t="str">
        <f aca="false">IF(J13="","",K13-J13)</f>
        <v/>
      </c>
      <c r="M13" s="13" t="str">
        <f aca="false">IF(L13="","",SUM($L$10:L13))</f>
        <v/>
      </c>
    </row>
    <row r="14" customFormat="false" ht="15" hidden="false" customHeight="false" outlineLevel="0" collapsed="false">
      <c r="A14" s="11" t="n">
        <v>5</v>
      </c>
      <c r="B14" s="25" t="n">
        <f aca="false">IF(A14&gt;Budget!$B$7,"",Budget!$B$5+(A14-1)*7)</f>
        <v>46328</v>
      </c>
      <c r="C14" s="12"/>
      <c r="D14" s="12"/>
      <c r="E14" s="12"/>
      <c r="F14" s="12"/>
      <c r="G14" s="12"/>
      <c r="H14" s="12"/>
      <c r="I14" s="12"/>
      <c r="J14" s="13" t="str">
        <f aca="false">IF(COUNT(C14:I14)=0,"",SUM(C14:I14))</f>
        <v/>
      </c>
      <c r="K14" s="13" t="n">
        <f aca="false">IF(B14="","",$J$5)</f>
        <v>128.5</v>
      </c>
      <c r="L14" s="13" t="str">
        <f aca="false">IF(J14="","",K14-J14)</f>
        <v/>
      </c>
      <c r="M14" s="13" t="str">
        <f aca="false">IF(L14="","",SUM($L$10:L14))</f>
        <v/>
      </c>
    </row>
    <row r="15" customFormat="false" ht="15" hidden="false" customHeight="false" outlineLevel="0" collapsed="false">
      <c r="A15" s="11" t="n">
        <v>6</v>
      </c>
      <c r="B15" s="25" t="n">
        <f aca="false">IF(A15&gt;Budget!$B$7,"",Budget!$B$5+(A15-1)*7)</f>
        <v>46335</v>
      </c>
      <c r="C15" s="12"/>
      <c r="D15" s="12"/>
      <c r="E15" s="12"/>
      <c r="F15" s="12"/>
      <c r="G15" s="12"/>
      <c r="H15" s="12"/>
      <c r="I15" s="12"/>
      <c r="J15" s="13" t="str">
        <f aca="false">IF(COUNT(C15:I15)=0,"",SUM(C15:I15))</f>
        <v/>
      </c>
      <c r="K15" s="13" t="n">
        <f aca="false">IF(B15="","",$J$5)</f>
        <v>128.5</v>
      </c>
      <c r="L15" s="13" t="str">
        <f aca="false">IF(J15="","",K15-J15)</f>
        <v/>
      </c>
      <c r="M15" s="13" t="str">
        <f aca="false">IF(L15="","",SUM($L$10:L15))</f>
        <v/>
      </c>
    </row>
    <row r="16" customFormat="false" ht="15" hidden="false" customHeight="false" outlineLevel="0" collapsed="false">
      <c r="A16" s="11" t="n">
        <v>7</v>
      </c>
      <c r="B16" s="25" t="n">
        <f aca="false">IF(A16&gt;Budget!$B$7,"",Budget!$B$5+(A16-1)*7)</f>
        <v>46342</v>
      </c>
      <c r="C16" s="12"/>
      <c r="D16" s="12"/>
      <c r="E16" s="12"/>
      <c r="F16" s="12"/>
      <c r="G16" s="12"/>
      <c r="H16" s="12"/>
      <c r="I16" s="12"/>
      <c r="J16" s="13" t="str">
        <f aca="false">IF(COUNT(C16:I16)=0,"",SUM(C16:I16))</f>
        <v/>
      </c>
      <c r="K16" s="13" t="n">
        <f aca="false">IF(B16="","",$J$5)</f>
        <v>128.5</v>
      </c>
      <c r="L16" s="13" t="str">
        <f aca="false">IF(J16="","",K16-J16)</f>
        <v/>
      </c>
      <c r="M16" s="13" t="str">
        <f aca="false">IF(L16="","",SUM($L$10:L16))</f>
        <v/>
      </c>
    </row>
    <row r="17" customFormat="false" ht="15" hidden="false" customHeight="false" outlineLevel="0" collapsed="false">
      <c r="A17" s="11" t="n">
        <v>8</v>
      </c>
      <c r="B17" s="25" t="n">
        <f aca="false">IF(A17&gt;Budget!$B$7,"",Budget!$B$5+(A17-1)*7)</f>
        <v>46349</v>
      </c>
      <c r="C17" s="12"/>
      <c r="D17" s="12"/>
      <c r="E17" s="12"/>
      <c r="F17" s="12"/>
      <c r="G17" s="12"/>
      <c r="H17" s="12"/>
      <c r="I17" s="12"/>
      <c r="J17" s="13" t="str">
        <f aca="false">IF(COUNT(C17:I17)=0,"",SUM(C17:I17))</f>
        <v/>
      </c>
      <c r="K17" s="13" t="n">
        <f aca="false">IF(B17="","",$J$5)</f>
        <v>128.5</v>
      </c>
      <c r="L17" s="13" t="str">
        <f aca="false">IF(J17="","",K17-J17)</f>
        <v/>
      </c>
      <c r="M17" s="13" t="str">
        <f aca="false">IF(L17="","",SUM($L$10:L17))</f>
        <v/>
      </c>
    </row>
    <row r="18" customFormat="false" ht="15" hidden="false" customHeight="false" outlineLevel="0" collapsed="false">
      <c r="A18" s="11" t="n">
        <v>9</v>
      </c>
      <c r="B18" s="25" t="n">
        <f aca="false">IF(A18&gt;Budget!$B$7,"",Budget!$B$5+(A18-1)*7)</f>
        <v>46356</v>
      </c>
      <c r="C18" s="12"/>
      <c r="D18" s="12"/>
      <c r="E18" s="12"/>
      <c r="F18" s="12"/>
      <c r="G18" s="12"/>
      <c r="H18" s="12"/>
      <c r="I18" s="12"/>
      <c r="J18" s="13" t="str">
        <f aca="false">IF(COUNT(C18:I18)=0,"",SUM(C18:I18))</f>
        <v/>
      </c>
      <c r="K18" s="13" t="n">
        <f aca="false">IF(B18="","",$J$5)</f>
        <v>128.5</v>
      </c>
      <c r="L18" s="13" t="str">
        <f aca="false">IF(J18="","",K18-J18)</f>
        <v/>
      </c>
      <c r="M18" s="13" t="str">
        <f aca="false">IF(L18="","",SUM($L$10:L18))</f>
        <v/>
      </c>
    </row>
    <row r="19" customFormat="false" ht="15" hidden="false" customHeight="false" outlineLevel="0" collapsed="false">
      <c r="A19" s="11" t="n">
        <v>10</v>
      </c>
      <c r="B19" s="25" t="n">
        <f aca="false">IF(A19&gt;Budget!$B$7,"",Budget!$B$5+(A19-1)*7)</f>
        <v>46363</v>
      </c>
      <c r="C19" s="12"/>
      <c r="D19" s="12"/>
      <c r="E19" s="12"/>
      <c r="F19" s="12"/>
      <c r="G19" s="12"/>
      <c r="H19" s="12"/>
      <c r="I19" s="12"/>
      <c r="J19" s="13" t="str">
        <f aca="false">IF(COUNT(C19:I19)=0,"",SUM(C19:I19))</f>
        <v/>
      </c>
      <c r="K19" s="13" t="n">
        <f aca="false">IF(B19="","",$J$5)</f>
        <v>128.5</v>
      </c>
      <c r="L19" s="13" t="str">
        <f aca="false">IF(J19="","",K19-J19)</f>
        <v/>
      </c>
      <c r="M19" s="13" t="str">
        <f aca="false">IF(L19="","",SUM($L$10:L19))</f>
        <v/>
      </c>
    </row>
    <row r="20" customFormat="false" ht="15" hidden="false" customHeight="false" outlineLevel="0" collapsed="false">
      <c r="A20" s="11" t="n">
        <v>11</v>
      </c>
      <c r="B20" s="25" t="n">
        <f aca="false">IF(A20&gt;Budget!$B$7,"",Budget!$B$5+(A20-1)*7)</f>
        <v>46370</v>
      </c>
      <c r="C20" s="12"/>
      <c r="D20" s="12"/>
      <c r="E20" s="12"/>
      <c r="F20" s="12"/>
      <c r="G20" s="12"/>
      <c r="H20" s="12"/>
      <c r="I20" s="12"/>
      <c r="J20" s="13" t="str">
        <f aca="false">IF(COUNT(C20:I20)=0,"",SUM(C20:I20))</f>
        <v/>
      </c>
      <c r="K20" s="13" t="n">
        <f aca="false">IF(B20="","",$J$5)</f>
        <v>128.5</v>
      </c>
      <c r="L20" s="13" t="str">
        <f aca="false">IF(J20="","",K20-J20)</f>
        <v/>
      </c>
      <c r="M20" s="13" t="str">
        <f aca="false">IF(L20="","",SUM($L$10:L20))</f>
        <v/>
      </c>
    </row>
    <row r="21" customFormat="false" ht="15" hidden="false" customHeight="false" outlineLevel="0" collapsed="false">
      <c r="A21" s="11" t="n">
        <v>12</v>
      </c>
      <c r="B21" s="25" t="n">
        <f aca="false">IF(A21&gt;Budget!$B$7,"",Budget!$B$5+(A21-1)*7)</f>
        <v>46377</v>
      </c>
      <c r="C21" s="12"/>
      <c r="D21" s="12"/>
      <c r="E21" s="12"/>
      <c r="F21" s="12"/>
      <c r="G21" s="12"/>
      <c r="H21" s="12"/>
      <c r="I21" s="12"/>
      <c r="J21" s="13" t="str">
        <f aca="false">IF(COUNT(C21:I21)=0,"",SUM(C21:I21))</f>
        <v/>
      </c>
      <c r="K21" s="13" t="n">
        <f aca="false">IF(B21="","",$J$5)</f>
        <v>128.5</v>
      </c>
      <c r="L21" s="13" t="str">
        <f aca="false">IF(J21="","",K21-J21)</f>
        <v/>
      </c>
      <c r="M21" s="13" t="str">
        <f aca="false">IF(L21="","",SUM($L$10:L21))</f>
        <v/>
      </c>
    </row>
    <row r="22" customFormat="false" ht="15" hidden="false" customHeight="false" outlineLevel="0" collapsed="false">
      <c r="A22" s="11" t="n">
        <v>13</v>
      </c>
      <c r="B22" s="25" t="n">
        <f aca="false">IF(A22&gt;Budget!$B$7,"",Budget!$B$5+(A22-1)*7)</f>
        <v>46384</v>
      </c>
      <c r="C22" s="12"/>
      <c r="D22" s="12"/>
      <c r="E22" s="12"/>
      <c r="F22" s="12"/>
      <c r="G22" s="12"/>
      <c r="H22" s="12"/>
      <c r="I22" s="12"/>
      <c r="J22" s="13" t="str">
        <f aca="false">IF(COUNT(C22:I22)=0,"",SUM(C22:I22))</f>
        <v/>
      </c>
      <c r="K22" s="13" t="n">
        <f aca="false">IF(B22="","",$J$5)</f>
        <v>128.5</v>
      </c>
      <c r="L22" s="13" t="str">
        <f aca="false">IF(J22="","",K22-J22)</f>
        <v/>
      </c>
      <c r="M22" s="13" t="str">
        <f aca="false">IF(L22="","",SUM($L$10:L22))</f>
        <v/>
      </c>
    </row>
    <row r="23" customFormat="false" ht="15" hidden="false" customHeight="false" outlineLevel="0" collapsed="false">
      <c r="A23" s="11" t="n">
        <v>14</v>
      </c>
      <c r="B23" s="25" t="n">
        <f aca="false">IF(A23&gt;Budget!$B$7,"",Budget!$B$5+(A23-1)*7)</f>
        <v>46391</v>
      </c>
      <c r="C23" s="12"/>
      <c r="D23" s="12"/>
      <c r="E23" s="12"/>
      <c r="F23" s="12"/>
      <c r="G23" s="12"/>
      <c r="H23" s="12"/>
      <c r="I23" s="12"/>
      <c r="J23" s="13" t="str">
        <f aca="false">IF(COUNT(C23:I23)=0,"",SUM(C23:I23))</f>
        <v/>
      </c>
      <c r="K23" s="13" t="n">
        <f aca="false">IF(B23="","",$J$5)</f>
        <v>128.5</v>
      </c>
      <c r="L23" s="13" t="str">
        <f aca="false">IF(J23="","",K23-J23)</f>
        <v/>
      </c>
      <c r="M23" s="13" t="str">
        <f aca="false">IF(L23="","",SUM($L$10:L23))</f>
        <v/>
      </c>
    </row>
    <row r="24" customFormat="false" ht="15" hidden="false" customHeight="false" outlineLevel="0" collapsed="false">
      <c r="A24" s="11" t="n">
        <v>15</v>
      </c>
      <c r="B24" s="25" t="n">
        <f aca="false">IF(A24&gt;Budget!$B$7,"",Budget!$B$5+(A24-1)*7)</f>
        <v>46398</v>
      </c>
      <c r="C24" s="12"/>
      <c r="D24" s="12"/>
      <c r="E24" s="12"/>
      <c r="F24" s="12"/>
      <c r="G24" s="12"/>
      <c r="H24" s="12"/>
      <c r="I24" s="12"/>
      <c r="J24" s="13" t="str">
        <f aca="false">IF(COUNT(C24:I24)=0,"",SUM(C24:I24))</f>
        <v/>
      </c>
      <c r="K24" s="13" t="n">
        <f aca="false">IF(B24="","",$J$5)</f>
        <v>128.5</v>
      </c>
      <c r="L24" s="13" t="str">
        <f aca="false">IF(J24="","",K24-J24)</f>
        <v/>
      </c>
      <c r="M24" s="13" t="str">
        <f aca="false">IF(L24="","",SUM($L$10:L24))</f>
        <v/>
      </c>
    </row>
    <row r="25" customFormat="false" ht="15" hidden="false" customHeight="false" outlineLevel="0" collapsed="false">
      <c r="A25" s="11" t="n">
        <v>16</v>
      </c>
      <c r="B25" s="25" t="n">
        <f aca="false">IF(A25&gt;Budget!$B$7,"",Budget!$B$5+(A25-1)*7)</f>
        <v>46405</v>
      </c>
      <c r="C25" s="12"/>
      <c r="D25" s="12"/>
      <c r="E25" s="12"/>
      <c r="F25" s="12"/>
      <c r="G25" s="12"/>
      <c r="H25" s="12"/>
      <c r="I25" s="12"/>
      <c r="J25" s="13" t="str">
        <f aca="false">IF(COUNT(C25:I25)=0,"",SUM(C25:I25))</f>
        <v/>
      </c>
      <c r="K25" s="13" t="n">
        <f aca="false">IF(B25="","",$J$5)</f>
        <v>128.5</v>
      </c>
      <c r="L25" s="13" t="str">
        <f aca="false">IF(J25="","",K25-J25)</f>
        <v/>
      </c>
      <c r="M25" s="13" t="str">
        <f aca="false">IF(L25="","",SUM($L$10:L25))</f>
        <v/>
      </c>
    </row>
    <row r="26" customFormat="false" ht="15" hidden="false" customHeight="false" outlineLevel="0" collapsed="false">
      <c r="A26" s="11" t="n">
        <v>17</v>
      </c>
      <c r="B26" s="25" t="n">
        <f aca="false">IF(A26&gt;Budget!$B$7,"",Budget!$B$5+(A26-1)*7)</f>
        <v>46412</v>
      </c>
      <c r="C26" s="12"/>
      <c r="D26" s="12"/>
      <c r="E26" s="12"/>
      <c r="F26" s="12"/>
      <c r="G26" s="12"/>
      <c r="H26" s="12"/>
      <c r="I26" s="12"/>
      <c r="J26" s="13" t="str">
        <f aca="false">IF(COUNT(C26:I26)=0,"",SUM(C26:I26))</f>
        <v/>
      </c>
      <c r="K26" s="13" t="n">
        <f aca="false">IF(B26="","",$J$5)</f>
        <v>128.5</v>
      </c>
      <c r="L26" s="13" t="str">
        <f aca="false">IF(J26="","",K26-J26)</f>
        <v/>
      </c>
      <c r="M26" s="13" t="str">
        <f aca="false">IF(L26="","",SUM($L$10:L26))</f>
        <v/>
      </c>
    </row>
    <row r="27" customFormat="false" ht="15" hidden="false" customHeight="false" outlineLevel="0" collapsed="false">
      <c r="A27" s="11" t="n">
        <v>18</v>
      </c>
      <c r="B27" s="25" t="n">
        <f aca="false">IF(A27&gt;Budget!$B$7,"",Budget!$B$5+(A27-1)*7)</f>
        <v>46419</v>
      </c>
      <c r="C27" s="12"/>
      <c r="D27" s="12"/>
      <c r="E27" s="12"/>
      <c r="F27" s="12"/>
      <c r="G27" s="12"/>
      <c r="H27" s="12"/>
      <c r="I27" s="12"/>
      <c r="J27" s="13" t="str">
        <f aca="false">IF(COUNT(C27:I27)=0,"",SUM(C27:I27))</f>
        <v/>
      </c>
      <c r="K27" s="13" t="n">
        <f aca="false">IF(B27="","",$J$5)</f>
        <v>128.5</v>
      </c>
      <c r="L27" s="13" t="str">
        <f aca="false">IF(J27="","",K27-J27)</f>
        <v/>
      </c>
      <c r="M27" s="13" t="str">
        <f aca="false">IF(L27="","",SUM($L$10:L27))</f>
        <v/>
      </c>
    </row>
    <row r="28" customFormat="false" ht="15" hidden="false" customHeight="false" outlineLevel="0" collapsed="false">
      <c r="A28" s="11" t="n">
        <v>19</v>
      </c>
      <c r="B28" s="25" t="n">
        <f aca="false">IF(A28&gt;Budget!$B$7,"",Budget!$B$5+(A28-1)*7)</f>
        <v>46426</v>
      </c>
      <c r="C28" s="12"/>
      <c r="D28" s="12"/>
      <c r="E28" s="12"/>
      <c r="F28" s="12"/>
      <c r="G28" s="12"/>
      <c r="H28" s="12"/>
      <c r="I28" s="12"/>
      <c r="J28" s="13" t="str">
        <f aca="false">IF(COUNT(C28:I28)=0,"",SUM(C28:I28))</f>
        <v/>
      </c>
      <c r="K28" s="13" t="n">
        <f aca="false">IF(B28="","",$J$5)</f>
        <v>128.5</v>
      </c>
      <c r="L28" s="13" t="str">
        <f aca="false">IF(J28="","",K28-J28)</f>
        <v/>
      </c>
      <c r="M28" s="13" t="str">
        <f aca="false">IF(L28="","",SUM($L$10:L28))</f>
        <v/>
      </c>
    </row>
    <row r="29" customFormat="false" ht="15" hidden="false" customHeight="false" outlineLevel="0" collapsed="false">
      <c r="A29" s="11" t="n">
        <v>20</v>
      </c>
      <c r="B29" s="25" t="n">
        <f aca="false">IF(A29&gt;Budget!$B$7,"",Budget!$B$5+(A29-1)*7)</f>
        <v>46433</v>
      </c>
      <c r="C29" s="12"/>
      <c r="D29" s="12"/>
      <c r="E29" s="12"/>
      <c r="F29" s="12"/>
      <c r="G29" s="12"/>
      <c r="H29" s="12"/>
      <c r="I29" s="12"/>
      <c r="J29" s="13" t="str">
        <f aca="false">IF(COUNT(C29:I29)=0,"",SUM(C29:I29))</f>
        <v/>
      </c>
      <c r="K29" s="13" t="n">
        <f aca="false">IF(B29="","",$J$5)</f>
        <v>128.5</v>
      </c>
      <c r="L29" s="13" t="str">
        <f aca="false">IF(J29="","",K29-J29)</f>
        <v/>
      </c>
      <c r="M29" s="13" t="str">
        <f aca="false">IF(L29="","",SUM($L$10:L29))</f>
        <v/>
      </c>
    </row>
    <row r="30" customFormat="false" ht="15" hidden="false" customHeight="false" outlineLevel="0" collapsed="false">
      <c r="A30" s="11" t="n">
        <v>21</v>
      </c>
      <c r="B30" s="25" t="n">
        <f aca="false">IF(A30&gt;Budget!$B$7,"",Budget!$B$5+(A30-1)*7)</f>
        <v>46440</v>
      </c>
      <c r="C30" s="12"/>
      <c r="D30" s="12"/>
      <c r="E30" s="12"/>
      <c r="F30" s="12"/>
      <c r="G30" s="12"/>
      <c r="H30" s="12"/>
      <c r="I30" s="12"/>
      <c r="J30" s="13" t="str">
        <f aca="false">IF(COUNT(C30:I30)=0,"",SUM(C30:I30))</f>
        <v/>
      </c>
      <c r="K30" s="13" t="n">
        <f aca="false">IF(B30="","",$J$5)</f>
        <v>128.5</v>
      </c>
      <c r="L30" s="13" t="str">
        <f aca="false">IF(J30="","",K30-J30)</f>
        <v/>
      </c>
      <c r="M30" s="13" t="str">
        <f aca="false">IF(L30="","",SUM($L$10:L30))</f>
        <v/>
      </c>
    </row>
    <row r="31" customFormat="false" ht="15" hidden="false" customHeight="false" outlineLevel="0" collapsed="false">
      <c r="A31" s="11" t="n">
        <v>22</v>
      </c>
      <c r="B31" s="25" t="n">
        <f aca="false">IF(A31&gt;Budget!$B$7,"",Budget!$B$5+(A31-1)*7)</f>
        <v>46447</v>
      </c>
      <c r="C31" s="12"/>
      <c r="D31" s="12"/>
      <c r="E31" s="12"/>
      <c r="F31" s="12"/>
      <c r="G31" s="12"/>
      <c r="H31" s="12"/>
      <c r="I31" s="12"/>
      <c r="J31" s="13" t="str">
        <f aca="false">IF(COUNT(C31:I31)=0,"",SUM(C31:I31))</f>
        <v/>
      </c>
      <c r="K31" s="13" t="n">
        <f aca="false">IF(B31="","",$J$5)</f>
        <v>128.5</v>
      </c>
      <c r="L31" s="13" t="str">
        <f aca="false">IF(J31="","",K31-J31)</f>
        <v/>
      </c>
      <c r="M31" s="13" t="str">
        <f aca="false">IF(L31="","",SUM($L$10:L31))</f>
        <v/>
      </c>
    </row>
    <row r="32" customFormat="false" ht="15" hidden="false" customHeight="false" outlineLevel="0" collapsed="false">
      <c r="A32" s="11" t="n">
        <v>23</v>
      </c>
      <c r="B32" s="25" t="n">
        <f aca="false">IF(A32&gt;Budget!$B$7,"",Budget!$B$5+(A32-1)*7)</f>
        <v>46454</v>
      </c>
      <c r="C32" s="12"/>
      <c r="D32" s="12"/>
      <c r="E32" s="12"/>
      <c r="F32" s="12"/>
      <c r="G32" s="12"/>
      <c r="H32" s="12"/>
      <c r="I32" s="12"/>
      <c r="J32" s="13" t="str">
        <f aca="false">IF(COUNT(C32:I32)=0,"",SUM(C32:I32))</f>
        <v/>
      </c>
      <c r="K32" s="13" t="n">
        <f aca="false">IF(B32="","",$J$5)</f>
        <v>128.5</v>
      </c>
      <c r="L32" s="13" t="str">
        <f aca="false">IF(J32="","",K32-J32)</f>
        <v/>
      </c>
      <c r="M32" s="13" t="str">
        <f aca="false">IF(L32="","",SUM($L$10:L32))</f>
        <v/>
      </c>
    </row>
    <row r="33" customFormat="false" ht="15" hidden="false" customHeight="false" outlineLevel="0" collapsed="false">
      <c r="A33" s="11" t="n">
        <v>24</v>
      </c>
      <c r="B33" s="25" t="n">
        <f aca="false">IF(A33&gt;Budget!$B$7,"",Budget!$B$5+(A33-1)*7)</f>
        <v>46461</v>
      </c>
      <c r="C33" s="12"/>
      <c r="D33" s="12"/>
      <c r="E33" s="12"/>
      <c r="F33" s="12"/>
      <c r="G33" s="12"/>
      <c r="H33" s="12"/>
      <c r="I33" s="12"/>
      <c r="J33" s="13" t="str">
        <f aca="false">IF(COUNT(C33:I33)=0,"",SUM(C33:I33))</f>
        <v/>
      </c>
      <c r="K33" s="13" t="n">
        <f aca="false">IF(B33="","",$J$5)</f>
        <v>128.5</v>
      </c>
      <c r="L33" s="13" t="str">
        <f aca="false">IF(J33="","",K33-J33)</f>
        <v/>
      </c>
      <c r="M33" s="13" t="str">
        <f aca="false">IF(L33="","",SUM($L$10:L33))</f>
        <v/>
      </c>
    </row>
    <row r="34" customFormat="false" ht="15" hidden="false" customHeight="false" outlineLevel="0" collapsed="false">
      <c r="A34" s="11" t="n">
        <v>25</v>
      </c>
      <c r="B34" s="25" t="n">
        <f aca="false">IF(A34&gt;Budget!$B$7,"",Budget!$B$5+(A34-1)*7)</f>
        <v>46468</v>
      </c>
      <c r="C34" s="12"/>
      <c r="D34" s="12"/>
      <c r="E34" s="12"/>
      <c r="F34" s="12"/>
      <c r="G34" s="12"/>
      <c r="H34" s="12"/>
      <c r="I34" s="12"/>
      <c r="J34" s="13" t="str">
        <f aca="false">IF(COUNT(C34:I34)=0,"",SUM(C34:I34))</f>
        <v/>
      </c>
      <c r="K34" s="13" t="n">
        <f aca="false">IF(B34="","",$J$5)</f>
        <v>128.5</v>
      </c>
      <c r="L34" s="13" t="str">
        <f aca="false">IF(J34="","",K34-J34)</f>
        <v/>
      </c>
      <c r="M34" s="13" t="str">
        <f aca="false">IF(L34="","",SUM($L$10:L34))</f>
        <v/>
      </c>
    </row>
    <row r="35" customFormat="false" ht="15" hidden="false" customHeight="false" outlineLevel="0" collapsed="false">
      <c r="A35" s="11" t="n">
        <v>26</v>
      </c>
      <c r="B35" s="25" t="n">
        <f aca="false">IF(A35&gt;Budget!$B$7,"",Budget!$B$5+(A35-1)*7)</f>
        <v>46475</v>
      </c>
      <c r="C35" s="12"/>
      <c r="D35" s="12"/>
      <c r="E35" s="12"/>
      <c r="F35" s="12"/>
      <c r="G35" s="12"/>
      <c r="H35" s="12"/>
      <c r="I35" s="12"/>
      <c r="J35" s="13" t="str">
        <f aca="false">IF(COUNT(C35:I35)=0,"",SUM(C35:I35))</f>
        <v/>
      </c>
      <c r="K35" s="13" t="n">
        <f aca="false">IF(B35="","",$J$5)</f>
        <v>128.5</v>
      </c>
      <c r="L35" s="13" t="str">
        <f aca="false">IF(J35="","",K35-J35)</f>
        <v/>
      </c>
      <c r="M35" s="13" t="str">
        <f aca="false">IF(L35="","",SUM($L$10:L35))</f>
        <v/>
      </c>
    </row>
    <row r="36" customFormat="false" ht="15" hidden="false" customHeight="false" outlineLevel="0" collapsed="false">
      <c r="A36" s="11" t="n">
        <v>27</v>
      </c>
      <c r="B36" s="25" t="n">
        <f aca="false">IF(A36&gt;Budget!$B$7,"",Budget!$B$5+(A36-1)*7)</f>
        <v>46482</v>
      </c>
      <c r="C36" s="12"/>
      <c r="D36" s="12"/>
      <c r="E36" s="12"/>
      <c r="F36" s="12"/>
      <c r="G36" s="12"/>
      <c r="H36" s="12"/>
      <c r="I36" s="12"/>
      <c r="J36" s="13" t="str">
        <f aca="false">IF(COUNT(C36:I36)=0,"",SUM(C36:I36))</f>
        <v/>
      </c>
      <c r="K36" s="13" t="n">
        <f aca="false">IF(B36="","",$J$5)</f>
        <v>128.5</v>
      </c>
      <c r="L36" s="13" t="str">
        <f aca="false">IF(J36="","",K36-J36)</f>
        <v/>
      </c>
      <c r="M36" s="13" t="str">
        <f aca="false">IF(L36="","",SUM($L$10:L36))</f>
        <v/>
      </c>
    </row>
    <row r="37" customFormat="false" ht="15" hidden="false" customHeight="false" outlineLevel="0" collapsed="false">
      <c r="A37" s="11" t="n">
        <v>28</v>
      </c>
      <c r="B37" s="25" t="n">
        <f aca="false">IF(A37&gt;Budget!$B$7,"",Budget!$B$5+(A37-1)*7)</f>
        <v>46489</v>
      </c>
      <c r="C37" s="12"/>
      <c r="D37" s="12"/>
      <c r="E37" s="12"/>
      <c r="F37" s="12"/>
      <c r="G37" s="12"/>
      <c r="H37" s="12"/>
      <c r="I37" s="12"/>
      <c r="J37" s="13" t="str">
        <f aca="false">IF(COUNT(C37:I37)=0,"",SUM(C37:I37))</f>
        <v/>
      </c>
      <c r="K37" s="13" t="n">
        <f aca="false">IF(B37="","",$J$5)</f>
        <v>128.5</v>
      </c>
      <c r="L37" s="13" t="str">
        <f aca="false">IF(J37="","",K37-J37)</f>
        <v/>
      </c>
      <c r="M37" s="13" t="str">
        <f aca="false">IF(L37="","",SUM($L$10:L37))</f>
        <v/>
      </c>
    </row>
    <row r="38" customFormat="false" ht="15" hidden="false" customHeight="false" outlineLevel="0" collapsed="false">
      <c r="A38" s="11" t="n">
        <v>29</v>
      </c>
      <c r="B38" s="25" t="n">
        <f aca="false">IF(A38&gt;Budget!$B$7,"",Budget!$B$5+(A38-1)*7)</f>
        <v>46496</v>
      </c>
      <c r="C38" s="12"/>
      <c r="D38" s="12"/>
      <c r="E38" s="12"/>
      <c r="F38" s="12"/>
      <c r="G38" s="12"/>
      <c r="H38" s="12"/>
      <c r="I38" s="12"/>
      <c r="J38" s="13" t="str">
        <f aca="false">IF(COUNT(C38:I38)=0,"",SUM(C38:I38))</f>
        <v/>
      </c>
      <c r="K38" s="13" t="n">
        <f aca="false">IF(B38="","",$J$5)</f>
        <v>128.5</v>
      </c>
      <c r="L38" s="13" t="str">
        <f aca="false">IF(J38="","",K38-J38)</f>
        <v/>
      </c>
      <c r="M38" s="13" t="str">
        <f aca="false">IF(L38="","",SUM($L$10:L38))</f>
        <v/>
      </c>
    </row>
    <row r="39" customFormat="false" ht="15" hidden="false" customHeight="false" outlineLevel="0" collapsed="false">
      <c r="A39" s="11" t="n">
        <v>30</v>
      </c>
      <c r="B39" s="25" t="n">
        <f aca="false">IF(A39&gt;Budget!$B$7,"",Budget!$B$5+(A39-1)*7)</f>
        <v>46503</v>
      </c>
      <c r="C39" s="12"/>
      <c r="D39" s="12"/>
      <c r="E39" s="12"/>
      <c r="F39" s="12"/>
      <c r="G39" s="12"/>
      <c r="H39" s="12"/>
      <c r="I39" s="12"/>
      <c r="J39" s="13" t="str">
        <f aca="false">IF(COUNT(C39:I39)=0,"",SUM(C39:I39))</f>
        <v/>
      </c>
      <c r="K39" s="13" t="n">
        <f aca="false">IF(B39="","",$J$5)</f>
        <v>128.5</v>
      </c>
      <c r="L39" s="13" t="str">
        <f aca="false">IF(J39="","",K39-J39)</f>
        <v/>
      </c>
      <c r="M39" s="13" t="str">
        <f aca="false">IF(L39="","",SUM($L$10:L39))</f>
        <v/>
      </c>
    </row>
    <row r="40" customFormat="false" ht="15" hidden="false" customHeight="false" outlineLevel="0" collapsed="false">
      <c r="A40" s="11" t="n">
        <v>31</v>
      </c>
      <c r="B40" s="25" t="n">
        <f aca="false">IF(A40&gt;Budget!$B$7,"",Budget!$B$5+(A40-1)*7)</f>
        <v>46510</v>
      </c>
      <c r="C40" s="12"/>
      <c r="D40" s="12"/>
      <c r="E40" s="12"/>
      <c r="F40" s="12"/>
      <c r="G40" s="12"/>
      <c r="H40" s="12"/>
      <c r="I40" s="12"/>
      <c r="J40" s="13" t="str">
        <f aca="false">IF(COUNT(C40:I40)=0,"",SUM(C40:I40))</f>
        <v/>
      </c>
      <c r="K40" s="13" t="n">
        <f aca="false">IF(B40="","",$J$5)</f>
        <v>128.5</v>
      </c>
      <c r="L40" s="13" t="str">
        <f aca="false">IF(J40="","",K40-J40)</f>
        <v/>
      </c>
      <c r="M40" s="13" t="str">
        <f aca="false">IF(L40="","",SUM($L$10:L40))</f>
        <v/>
      </c>
    </row>
    <row r="41" customFormat="false" ht="15" hidden="false" customHeight="false" outlineLevel="0" collapsed="false">
      <c r="A41" s="11" t="n">
        <v>32</v>
      </c>
      <c r="B41" s="25" t="n">
        <f aca="false">IF(A41&gt;Budget!$B$7,"",Budget!$B$5+(A41-1)*7)</f>
        <v>46517</v>
      </c>
      <c r="C41" s="12"/>
      <c r="D41" s="12"/>
      <c r="E41" s="12"/>
      <c r="F41" s="12"/>
      <c r="G41" s="12"/>
      <c r="H41" s="12"/>
      <c r="I41" s="12"/>
      <c r="J41" s="13" t="str">
        <f aca="false">IF(COUNT(C41:I41)=0,"",SUM(C41:I41))</f>
        <v/>
      </c>
      <c r="K41" s="13" t="n">
        <f aca="false">IF(B41="","",$J$5)</f>
        <v>128.5</v>
      </c>
      <c r="L41" s="13" t="str">
        <f aca="false">IF(J41="","",K41-J41)</f>
        <v/>
      </c>
      <c r="M41" s="13" t="str">
        <f aca="false">IF(L41="","",SUM($L$10:L41))</f>
        <v/>
      </c>
    </row>
    <row r="42" customFormat="false" ht="15" hidden="false" customHeight="false" outlineLevel="0" collapsed="false">
      <c r="A42" s="11" t="n">
        <v>33</v>
      </c>
      <c r="B42" s="25" t="n">
        <f aca="false">IF(A42&gt;Budget!$B$7,"",Budget!$B$5+(A42-1)*7)</f>
        <v>46524</v>
      </c>
      <c r="C42" s="12"/>
      <c r="D42" s="12"/>
      <c r="E42" s="12"/>
      <c r="F42" s="12"/>
      <c r="G42" s="12"/>
      <c r="H42" s="12"/>
      <c r="I42" s="12"/>
      <c r="J42" s="13" t="str">
        <f aca="false">IF(COUNT(C42:I42)=0,"",SUM(C42:I42))</f>
        <v/>
      </c>
      <c r="K42" s="13" t="n">
        <f aca="false">IF(B42="","",$J$5)</f>
        <v>128.5</v>
      </c>
      <c r="L42" s="13" t="str">
        <f aca="false">IF(J42="","",K42-J42)</f>
        <v/>
      </c>
      <c r="M42" s="13" t="str">
        <f aca="false">IF(L42="","",SUM($L$10:L42))</f>
        <v/>
      </c>
    </row>
    <row r="43" customFormat="false" ht="15" hidden="false" customHeight="false" outlineLevel="0" collapsed="false">
      <c r="A43" s="11" t="n">
        <v>34</v>
      </c>
      <c r="B43" s="25" t="n">
        <f aca="false">IF(A43&gt;Budget!$B$7,"",Budget!$B$5+(A43-1)*7)</f>
        <v>46531</v>
      </c>
      <c r="C43" s="12"/>
      <c r="D43" s="12"/>
      <c r="E43" s="12"/>
      <c r="F43" s="12"/>
      <c r="G43" s="12"/>
      <c r="H43" s="12"/>
      <c r="I43" s="12"/>
      <c r="J43" s="13" t="str">
        <f aca="false">IF(COUNT(C43:I43)=0,"",SUM(C43:I43))</f>
        <v/>
      </c>
      <c r="K43" s="13" t="n">
        <f aca="false">IF(B43="","",$J$5)</f>
        <v>128.5</v>
      </c>
      <c r="L43" s="13" t="str">
        <f aca="false">IF(J43="","",K43-J43)</f>
        <v/>
      </c>
      <c r="M43" s="13" t="str">
        <f aca="false">IF(L43="","",SUM($L$10:L43))</f>
        <v/>
      </c>
    </row>
    <row r="44" customFormat="false" ht="15" hidden="false" customHeight="false" outlineLevel="0" collapsed="false">
      <c r="A44" s="11" t="n">
        <v>35</v>
      </c>
      <c r="B44" s="25" t="n">
        <f aca="false">IF(A44&gt;Budget!$B$7,"",Budget!$B$5+(A44-1)*7)</f>
        <v>46538</v>
      </c>
      <c r="C44" s="12"/>
      <c r="D44" s="12"/>
      <c r="E44" s="12"/>
      <c r="F44" s="12"/>
      <c r="G44" s="12"/>
      <c r="H44" s="12"/>
      <c r="I44" s="12"/>
      <c r="J44" s="13" t="str">
        <f aca="false">IF(COUNT(C44:I44)=0,"",SUM(C44:I44))</f>
        <v/>
      </c>
      <c r="K44" s="13" t="n">
        <f aca="false">IF(B44="","",$J$5)</f>
        <v>128.5</v>
      </c>
      <c r="L44" s="13" t="str">
        <f aca="false">IF(J44="","",K44-J44)</f>
        <v/>
      </c>
      <c r="M44" s="13" t="str">
        <f aca="false">IF(L44="","",SUM($L$10:L44))</f>
        <v/>
      </c>
    </row>
    <row r="45" customFormat="false" ht="15" hidden="false" customHeight="false" outlineLevel="0" collapsed="false">
      <c r="A45" s="11" t="n">
        <v>36</v>
      </c>
      <c r="B45" s="25" t="n">
        <f aca="false">IF(A45&gt;Budget!$B$7,"",Budget!$B$5+(A45-1)*7)</f>
        <v>46545</v>
      </c>
      <c r="C45" s="12"/>
      <c r="D45" s="12"/>
      <c r="E45" s="12"/>
      <c r="F45" s="12"/>
      <c r="G45" s="12"/>
      <c r="H45" s="12"/>
      <c r="I45" s="12"/>
      <c r="J45" s="13" t="str">
        <f aca="false">IF(COUNT(C45:I45)=0,"",SUM(C45:I45))</f>
        <v/>
      </c>
      <c r="K45" s="13" t="n">
        <f aca="false">IF(B45="","",$J$5)</f>
        <v>128.5</v>
      </c>
      <c r="L45" s="13" t="str">
        <f aca="false">IF(J45="","",K45-J45)</f>
        <v/>
      </c>
      <c r="M45" s="13" t="str">
        <f aca="false">IF(L45="","",SUM($L$10:L45))</f>
        <v/>
      </c>
    </row>
    <row r="46" customFormat="false" ht="15" hidden="false" customHeight="false" outlineLevel="0" collapsed="false">
      <c r="A46" s="11" t="n">
        <v>37</v>
      </c>
      <c r="B46" s="25" t="str">
        <f aca="false">IF(A46&gt;Budget!$B$7,"",Budget!$B$5+(A46-1)*7)</f>
        <v/>
      </c>
      <c r="C46" s="12"/>
      <c r="D46" s="12"/>
      <c r="E46" s="12"/>
      <c r="F46" s="12"/>
      <c r="G46" s="12"/>
      <c r="H46" s="12"/>
      <c r="I46" s="12"/>
      <c r="J46" s="13" t="str">
        <f aca="false">IF(COUNT(C46:I46)=0,"",SUM(C46:I46))</f>
        <v/>
      </c>
      <c r="K46" s="13" t="str">
        <f aca="false">IF(B46="","",$J$5)</f>
        <v/>
      </c>
      <c r="L46" s="13" t="str">
        <f aca="false">IF(J46="","",K46-J46)</f>
        <v/>
      </c>
      <c r="M46" s="13" t="str">
        <f aca="false">IF(L46="","",SUM($L$10:L46))</f>
        <v/>
      </c>
    </row>
    <row r="47" customFormat="false" ht="15" hidden="false" customHeight="false" outlineLevel="0" collapsed="false">
      <c r="A47" s="11" t="n">
        <v>38</v>
      </c>
      <c r="B47" s="25" t="str">
        <f aca="false">IF(A47&gt;Budget!$B$7,"",Budget!$B$5+(A47-1)*7)</f>
        <v/>
      </c>
      <c r="C47" s="12"/>
      <c r="D47" s="12"/>
      <c r="E47" s="12"/>
      <c r="F47" s="12"/>
      <c r="G47" s="12"/>
      <c r="H47" s="12"/>
      <c r="I47" s="12"/>
      <c r="J47" s="13" t="str">
        <f aca="false">IF(COUNT(C47:I47)=0,"",SUM(C47:I47))</f>
        <v/>
      </c>
      <c r="K47" s="13" t="str">
        <f aca="false">IF(B47="","",$J$5)</f>
        <v/>
      </c>
      <c r="L47" s="13" t="str">
        <f aca="false">IF(J47="","",K47-J47)</f>
        <v/>
      </c>
      <c r="M47" s="13" t="str">
        <f aca="false">IF(L47="","",SUM($L$10:L47))</f>
        <v/>
      </c>
    </row>
    <row r="48" customFormat="false" ht="15" hidden="false" customHeight="false" outlineLevel="0" collapsed="false">
      <c r="A48" s="11" t="n">
        <v>39</v>
      </c>
      <c r="B48" s="25" t="str">
        <f aca="false">IF(A48&gt;Budget!$B$7,"",Budget!$B$5+(A48-1)*7)</f>
        <v/>
      </c>
      <c r="C48" s="12"/>
      <c r="D48" s="12"/>
      <c r="E48" s="12"/>
      <c r="F48" s="12"/>
      <c r="G48" s="12"/>
      <c r="H48" s="12"/>
      <c r="I48" s="12"/>
      <c r="J48" s="13" t="str">
        <f aca="false">IF(COUNT(C48:I48)=0,"",SUM(C48:I48))</f>
        <v/>
      </c>
      <c r="K48" s="13" t="str">
        <f aca="false">IF(B48="","",$J$5)</f>
        <v/>
      </c>
      <c r="L48" s="13" t="str">
        <f aca="false">IF(J48="","",K48-J48)</f>
        <v/>
      </c>
      <c r="M48" s="13" t="str">
        <f aca="false">IF(L48="","",SUM($L$10:L48))</f>
        <v/>
      </c>
    </row>
    <row r="49" customFormat="false" ht="15" hidden="false" customHeight="false" outlineLevel="0" collapsed="false">
      <c r="A49" s="11" t="n">
        <v>40</v>
      </c>
      <c r="B49" s="25" t="str">
        <f aca="false">IF(A49&gt;Budget!$B$7,"",Budget!$B$5+(A49-1)*7)</f>
        <v/>
      </c>
      <c r="C49" s="12"/>
      <c r="D49" s="12"/>
      <c r="E49" s="12"/>
      <c r="F49" s="12"/>
      <c r="G49" s="12"/>
      <c r="H49" s="12"/>
      <c r="I49" s="12"/>
      <c r="J49" s="13" t="str">
        <f aca="false">IF(COUNT(C49:I49)=0,"",SUM(C49:I49))</f>
        <v/>
      </c>
      <c r="K49" s="13" t="str">
        <f aca="false">IF(B49="","",$J$5)</f>
        <v/>
      </c>
      <c r="L49" s="13" t="str">
        <f aca="false">IF(J49="","",K49-J49)</f>
        <v/>
      </c>
      <c r="M49" s="13" t="str">
        <f aca="false">IF(L49="","",SUM($L$10:L49))</f>
        <v/>
      </c>
    </row>
    <row r="50" customFormat="false" ht="15" hidden="false" customHeight="false" outlineLevel="0" collapsed="false">
      <c r="A50" s="15" t="s">
        <v>77</v>
      </c>
      <c r="B50" s="16"/>
      <c r="C50" s="17" t="n">
        <f aca="false">SUM(C10:C49)</f>
        <v>0</v>
      </c>
      <c r="D50" s="17" t="n">
        <f aca="false">SUM(D10:D49)</f>
        <v>0</v>
      </c>
      <c r="E50" s="17" t="n">
        <f aca="false">SUM(E10:E49)</f>
        <v>0</v>
      </c>
      <c r="F50" s="17" t="n">
        <f aca="false">SUM(F10:F49)</f>
        <v>0</v>
      </c>
      <c r="G50" s="17" t="n">
        <f aca="false">SUM(G10:G49)</f>
        <v>0</v>
      </c>
      <c r="H50" s="17" t="n">
        <f aca="false">SUM(H10:H49)</f>
        <v>0</v>
      </c>
      <c r="I50" s="17" t="n">
        <f aca="false">SUM(I10:I49)</f>
        <v>0</v>
      </c>
      <c r="J50" s="17" t="n">
        <f aca="false">SUM(J10:J49)</f>
        <v>0</v>
      </c>
      <c r="K50" s="16"/>
      <c r="L50" s="17" t="n">
        <f aca="false">SUM(L10:L49)</f>
        <v>0</v>
      </c>
      <c r="M50" s="16"/>
    </row>
    <row r="51" customFormat="false" ht="15" hidden="false" customHeight="false" outlineLevel="0" collapsed="false">
      <c r="A51" s="15" t="s">
        <v>86</v>
      </c>
      <c r="B51" s="16"/>
      <c r="C51" s="17" t="str">
        <f aca="false">IF(COUNT(J10:J49)=0,"",C50/COUNT(J10:J49))</f>
        <v/>
      </c>
      <c r="D51" s="17" t="str">
        <f aca="false">IF(COUNT(J10:J49)=0,"",D50/COUNT(J10:J49))</f>
        <v/>
      </c>
      <c r="E51" s="17" t="str">
        <f aca="false">IF(COUNT(J10:J49)=0,"",E50/COUNT(J10:J49))</f>
        <v/>
      </c>
      <c r="F51" s="17" t="str">
        <f aca="false">IF(COUNT(J10:J49)=0,"",F50/COUNT(J10:J49))</f>
        <v/>
      </c>
      <c r="G51" s="17" t="str">
        <f aca="false">IF(COUNT(J10:J49)=0,"",G50/COUNT(J10:J49))</f>
        <v/>
      </c>
      <c r="H51" s="17" t="str">
        <f aca="false">IF(COUNT(J10:J49)=0,"",H50/COUNT(J10:J49))</f>
        <v/>
      </c>
      <c r="I51" s="17" t="str">
        <f aca="false">IF(COUNT(J10:J49)=0,"",I50/COUNT(J10:J49))</f>
        <v/>
      </c>
      <c r="J51" s="17" t="str">
        <f aca="false">IF(COUNT(J10:J49)=0,"",J50/COUNT(J10:J49))</f>
        <v/>
      </c>
      <c r="K51" s="16"/>
      <c r="L51" s="17" t="str">
        <f aca="false">IF(COUNT(J10:J49)=0,"",L50/COUNT(J10:J49))</f>
        <v/>
      </c>
      <c r="M51" s="16"/>
    </row>
  </sheetData>
  <conditionalFormatting sqref="C10:I49">
    <cfRule type="expression" priority="2" aboveAverage="0" equalAverage="0" bottom="0" percent="0" rank="0" text="" dxfId="1">
      <formula>AND(ISNUMBER(C10),C10&gt;C$5)</formula>
    </cfRule>
  </conditionalFormatting>
  <conditionalFormatting sqref="C51:I51">
    <cfRule type="expression" priority="3" aboveAverage="0" equalAverage="0" bottom="0" percent="0" rank="0" text="" dxfId="1">
      <formula>AND(ISNUMBER(C51),C51&gt;C$5)</formula>
    </cfRule>
  </conditionalFormatting>
  <conditionalFormatting sqref="L10:M49">
    <cfRule type="expression" priority="4" aboveAverage="0" equalAverage="0" bottom="0" percent="0" rank="0" text="" dxfId="1">
      <formula>AND(ISNUMBER(L10),L10&lt;0)</formula>
    </cfRule>
    <cfRule type="expression" priority="5" aboveAverage="0" equalAverage="0" bottom="0" percent="0" rank="0" text="" dxfId="0">
      <formula>AND(ISNUMBER(L10),L10&gt;=0)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87</v>
      </c>
    </row>
    <row r="3" customFormat="false" ht="15" hidden="false" customHeight="false" outlineLevel="0" collapsed="false">
      <c r="A3" s="26" t="s">
        <v>88</v>
      </c>
    </row>
    <row r="4" customFormat="false" ht="26.85" hidden="false" customHeight="false" outlineLevel="0" collapsed="false">
      <c r="A4" s="27" t="s">
        <v>89</v>
      </c>
    </row>
    <row r="5" customFormat="false" ht="15" hidden="false" customHeight="false" outlineLevel="0" collapsed="false">
      <c r="A5" s="27" t="s">
        <v>90</v>
      </c>
    </row>
    <row r="6" customFormat="false" ht="15" hidden="false" customHeight="false" outlineLevel="0" collapsed="false">
      <c r="A6" s="27"/>
    </row>
    <row r="7" customFormat="false" ht="15" hidden="false" customHeight="false" outlineLevel="0" collapsed="false">
      <c r="A7" s="27" t="s">
        <v>91</v>
      </c>
    </row>
    <row r="8" customFormat="false" ht="26.85" hidden="false" customHeight="false" outlineLevel="0" collapsed="false">
      <c r="A8" s="27" t="s">
        <v>92</v>
      </c>
    </row>
    <row r="9" customFormat="false" ht="26.85" hidden="false" customHeight="false" outlineLevel="0" collapsed="false">
      <c r="A9" s="27" t="s">
        <v>93</v>
      </c>
    </row>
    <row r="10" customFormat="false" ht="15" hidden="false" customHeight="false" outlineLevel="0" collapsed="false">
      <c r="A10" s="27" t="s">
        <v>94</v>
      </c>
    </row>
    <row r="11" customFormat="false" ht="15" hidden="false" customHeight="false" outlineLevel="0" collapsed="false">
      <c r="A11" s="27" t="s">
        <v>95</v>
      </c>
    </row>
    <row r="12" customFormat="false" ht="15" hidden="false" customHeight="false" outlineLevel="0" collapsed="false">
      <c r="A12" s="27" t="s">
        <v>96</v>
      </c>
    </row>
    <row r="13" customFormat="false" ht="15" hidden="false" customHeight="false" outlineLevel="0" collapsed="false">
      <c r="A13" s="27"/>
    </row>
    <row r="14" customFormat="false" ht="15" hidden="false" customHeight="false" outlineLevel="0" collapsed="false">
      <c r="A14" s="26" t="s">
        <v>97</v>
      </c>
    </row>
    <row r="15" customFormat="false" ht="15" hidden="false" customHeight="false" outlineLevel="0" collapsed="false">
      <c r="A15" s="27" t="s">
        <v>98</v>
      </c>
    </row>
    <row r="16" customFormat="false" ht="26.85" hidden="false" customHeight="false" outlineLevel="0" collapsed="false">
      <c r="A16" s="27" t="s">
        <v>99</v>
      </c>
    </row>
    <row r="17" customFormat="false" ht="15" hidden="false" customHeight="false" outlineLevel="0" collapsed="false">
      <c r="A17" s="27" t="s">
        <v>100</v>
      </c>
    </row>
    <row r="18" customFormat="false" ht="26.85" hidden="false" customHeight="false" outlineLevel="0" collapsed="false">
      <c r="A18" s="27" t="s">
        <v>101</v>
      </c>
    </row>
    <row r="19" customFormat="false" ht="15" hidden="false" customHeight="false" outlineLevel="0" collapsed="false">
      <c r="A19" s="27" t="s">
        <v>102</v>
      </c>
    </row>
    <row r="20" customFormat="false" ht="15" hidden="false" customHeight="false" outlineLevel="0" collapsed="false">
      <c r="A20" s="27" t="s">
        <v>103</v>
      </c>
    </row>
    <row r="21" customFormat="false" ht="15" hidden="false" customHeight="false" outlineLevel="0" collapsed="false">
      <c r="A21" s="27" t="s">
        <v>104</v>
      </c>
    </row>
    <row r="22" customFormat="false" ht="15" hidden="false" customHeight="false" outlineLevel="0" collapsed="false">
      <c r="A22" s="27" t="s">
        <v>105</v>
      </c>
    </row>
    <row r="23" customFormat="false" ht="15" hidden="false" customHeight="false" outlineLevel="0" collapsed="false">
      <c r="A23" s="27"/>
    </row>
    <row r="24" customFormat="false" ht="15" hidden="false" customHeight="false" outlineLevel="0" collapsed="false">
      <c r="A24" s="26" t="s">
        <v>106</v>
      </c>
    </row>
    <row r="25" customFormat="false" ht="15" hidden="false" customHeight="false" outlineLevel="0" collapsed="false">
      <c r="A25" s="27" t="s">
        <v>107</v>
      </c>
    </row>
    <row r="26" customFormat="false" ht="26.85" hidden="false" customHeight="false" outlineLevel="0" collapsed="false">
      <c r="A26" s="27" t="s">
        <v>108</v>
      </c>
    </row>
    <row r="27" customFormat="false" ht="15" hidden="false" customHeight="false" outlineLevel="0" collapsed="false">
      <c r="A27" s="27"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2026-10-04T16:45:33Z</dcterms:created>
  <dc:creator>openpyxl</dc:creator>
  <dc:description/>
  <dc:language>en-US</dc:language>
  <cp:lastModifiedBy/>
  <dcterms:modified xsi:type="dcterms:W3CDTF">2026-10-04T16:45:33Z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